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13_ncr:1_{69547D2D-5A70-42C9-B8B1-132E4CA4BF9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rbol" sheetId="2" r:id="rId1"/>
    <sheet name="Datos" sheetId="4" r:id="rId2"/>
    <sheet name="Control" sheetId="1" state="hidden" r:id="rId3"/>
    <sheet name="Edicion" sheetId="5" state="hidden" r:id="rId4"/>
  </sheets>
  <definedNames>
    <definedName name="AbuelaM">Arbol!$F$25</definedName>
    <definedName name="AbuelaP">Arbol!$F$17</definedName>
    <definedName name="AbueloM">Arbol!$F$21</definedName>
    <definedName name="AbueloP">Arbol!$F$13</definedName>
    <definedName name="Arbol">Tabla3[Nombre]</definedName>
    <definedName name="ArbolCompleto">Tabla1[NombreCompleto]</definedName>
    <definedName name="Ascendencia">Control!$D$4:$D$17</definedName>
    <definedName name="Datos">Datos!$1:$1048576</definedName>
    <definedName name="Descendencia">Tabla4[Nombres]</definedName>
    <definedName name="E_AnhoBtzo">Edicion!$C$17</definedName>
    <definedName name="E_AnhoDef">Edicion!$C$29</definedName>
    <definedName name="E_AnhoMatr">Edicion!$C$23</definedName>
    <definedName name="E_AnhoNac">Edicion!$C$11</definedName>
    <definedName name="E_Apellidos">Edicion!$G$5</definedName>
    <definedName name="E_DatExBtzo">Edicion!$I$17</definedName>
    <definedName name="E_DatExDef">Edicion!$I$29</definedName>
    <definedName name="E_DatExMatr">Edicion!$I$23</definedName>
    <definedName name="E_DatExNac">Edicion!$I$11</definedName>
    <definedName name="E_DiaBtzo">Edicion!$G$17</definedName>
    <definedName name="E_DiaDef">Edicion!$G$29</definedName>
    <definedName name="E_DiaMatr">Edicion!$G$23</definedName>
    <definedName name="E_DiaNac">Edicion!$G$11</definedName>
    <definedName name="E_Generacion">Edicion!$E$3</definedName>
    <definedName name="E_ID">Edicion!$C$3</definedName>
    <definedName name="E_IDMadre">Edicion!$L$33</definedName>
    <definedName name="E_IDPadre">Edicion!$L$17</definedName>
    <definedName name="E_LugarBtzo">Edicion!$C$15</definedName>
    <definedName name="E_LugarDef">Edicion!$C$27</definedName>
    <definedName name="E_LugarMatr">Edicion!$C$21</definedName>
    <definedName name="E_LugarNac">Edicion!$C$9</definedName>
    <definedName name="E_MesBtzo">Edicion!$E$17</definedName>
    <definedName name="E_MesDef">Edicion!$E$29</definedName>
    <definedName name="E_MesMatr">Edicion!$E$23</definedName>
    <definedName name="E_MesNac">Edicion!$E$11</definedName>
    <definedName name="E_NombreCompleto">Edicion!$C$1</definedName>
    <definedName name="E_Nombres">Edicion!$C$5</definedName>
    <definedName name="E_Observaciones">Edicion!$C$33</definedName>
    <definedName name="E_PaisBtzo">Edicion!$G$15</definedName>
    <definedName name="E_PaisDef">Edicion!$G$27</definedName>
    <definedName name="E_PaisMatr">Edicion!$G$21</definedName>
    <definedName name="E_PaisNac">Edicion!$G$9</definedName>
    <definedName name="E_Sexo">Edicion!$I$3</definedName>
    <definedName name="E_Vive">Edicion!$G$3</definedName>
    <definedName name="IDAbuelaM">Control!$C$9</definedName>
    <definedName name="IDAbuelaP">Control!$C$7</definedName>
    <definedName name="IDAbueloM">Control!$C$8</definedName>
    <definedName name="IDAbueloP">Control!$C$6</definedName>
    <definedName name="IDMadre">Control!$C$5</definedName>
    <definedName name="IDMayor">Control!$K$3</definedName>
    <definedName name="IDPadre">Control!$C$4</definedName>
    <definedName name="IDPrincipal">Control!$C$3</definedName>
    <definedName name="IDSeleccion">Tabla2[IDSeleccion]</definedName>
    <definedName name="Madre">Arbol!$D$23</definedName>
    <definedName name="Padre">Arbol!$D$15</definedName>
    <definedName name="PersonaNueva">Control!$K$6</definedName>
    <definedName name="SexoIDPpal">Tabla10[SexoIDPpal]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4" i="4" l="1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K9" i="1" l="1"/>
  <c r="AH23" i="4"/>
  <c r="AH22" i="4"/>
  <c r="K3" i="1"/>
  <c r="B19" i="2"/>
  <c r="AH21" i="4" l="1"/>
  <c r="AH19" i="4"/>
  <c r="AH20" i="4"/>
  <c r="AH18" i="4"/>
  <c r="AH17" i="4" l="1"/>
  <c r="AH16" i="4"/>
  <c r="AH15" i="4"/>
  <c r="AH14" i="4"/>
  <c r="AH13" i="4"/>
  <c r="AH12" i="4"/>
  <c r="AH11" i="4"/>
  <c r="AH10" i="4"/>
  <c r="AH9" i="4"/>
  <c r="AH8" i="4"/>
  <c r="AH7" i="4"/>
  <c r="AH6" i="4"/>
  <c r="AH5" i="4"/>
  <c r="AH4" i="4"/>
  <c r="AH3" i="4"/>
  <c r="I8" i="2" l="1"/>
  <c r="B23" i="2"/>
  <c r="B20" i="2"/>
  <c r="I14" i="2"/>
  <c r="I18" i="2"/>
  <c r="I22" i="2"/>
  <c r="I10" i="2"/>
  <c r="I12" i="2"/>
  <c r="I13" i="2"/>
  <c r="I9" i="2"/>
  <c r="I17" i="2"/>
  <c r="I24" i="2"/>
  <c r="I21" i="2"/>
  <c r="I16" i="2"/>
  <c r="I20" i="2"/>
  <c r="I6" i="2"/>
  <c r="H3" i="1" l="1"/>
  <c r="F4" i="1"/>
  <c r="H4" i="1"/>
  <c r="F5" i="1" l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I3" i="1"/>
  <c r="I4" i="1"/>
  <c r="H5" i="1"/>
  <c r="I5" i="1" l="1"/>
  <c r="H6" i="1"/>
  <c r="I6" i="1" l="1"/>
  <c r="H7" i="1"/>
  <c r="I7" i="1" l="1"/>
  <c r="H8" i="1"/>
  <c r="I8" i="1" l="1"/>
  <c r="H9" i="1"/>
  <c r="I9" i="1" l="1"/>
  <c r="H10" i="1"/>
  <c r="I10" i="1" l="1"/>
  <c r="H11" i="1"/>
  <c r="G25" i="1" l="1"/>
  <c r="I11" i="1"/>
  <c r="H12" i="1"/>
  <c r="I12" i="1" l="1"/>
  <c r="H13" i="1"/>
  <c r="I13" i="1" l="1"/>
  <c r="H14" i="1"/>
  <c r="I14" i="1" l="1"/>
  <c r="H15" i="1"/>
  <c r="I15" i="1" l="1"/>
  <c r="H16" i="1"/>
  <c r="I16" i="1" l="1"/>
  <c r="H17" i="1"/>
  <c r="I17" i="1" l="1"/>
  <c r="B21" i="2" l="1"/>
  <c r="B22" i="2"/>
  <c r="I5" i="2"/>
  <c r="B2" i="2"/>
  <c r="AH2" i="4"/>
  <c r="D3" i="1" l="1"/>
  <c r="C5" i="1"/>
  <c r="D23" i="2" s="1"/>
  <c r="C4" i="1"/>
  <c r="D15" i="2" s="1"/>
  <c r="C8" i="1" l="1"/>
  <c r="F21" i="2" s="1"/>
  <c r="C7" i="1"/>
  <c r="F17" i="2" s="1"/>
  <c r="D16" i="2"/>
  <c r="C6" i="1"/>
  <c r="F13" i="2" s="1"/>
  <c r="C9" i="1"/>
  <c r="F25" i="2" s="1"/>
  <c r="D4" i="1"/>
  <c r="D5" i="1"/>
  <c r="C13" i="1" l="1"/>
  <c r="D13" i="1" s="1"/>
  <c r="C12" i="1"/>
  <c r="D12" i="1" s="1"/>
  <c r="C17" i="1"/>
  <c r="D17" i="1" s="1"/>
  <c r="C16" i="1"/>
  <c r="D16" i="1" s="1"/>
  <c r="C10" i="1"/>
  <c r="D10" i="1" s="1"/>
  <c r="C11" i="1"/>
  <c r="D11" i="1" s="1"/>
  <c r="C14" i="1"/>
  <c r="D14" i="1" s="1"/>
  <c r="C15" i="1"/>
  <c r="D15" i="1" s="1"/>
  <c r="F26" i="2"/>
  <c r="D18" i="2"/>
  <c r="D17" i="2"/>
  <c r="D26" i="2"/>
  <c r="D25" i="2"/>
  <c r="D24" i="2"/>
  <c r="D6" i="1"/>
  <c r="D7" i="1"/>
  <c r="D8" i="1"/>
  <c r="D9" i="1"/>
  <c r="B25" i="1" l="1"/>
  <c r="F27" i="2"/>
  <c r="F28" i="2"/>
  <c r="F22" i="2"/>
  <c r="F24" i="2"/>
  <c r="F23" i="2"/>
  <c r="F15" i="2"/>
  <c r="F14" i="2"/>
  <c r="F16" i="2"/>
  <c r="F19" i="2"/>
  <c r="F18" i="2"/>
  <c r="F20" i="2"/>
</calcChain>
</file>

<file path=xl/sharedStrings.xml><?xml version="1.0" encoding="utf-8"?>
<sst xmlns="http://schemas.openxmlformats.org/spreadsheetml/2006/main" count="388" uniqueCount="191">
  <si>
    <t>ID</t>
  </si>
  <si>
    <t>IDPadre</t>
  </si>
  <si>
    <t>IDMadre</t>
  </si>
  <si>
    <t>Generacion</t>
  </si>
  <si>
    <t>Nombres</t>
  </si>
  <si>
    <t>Apellidos</t>
  </si>
  <si>
    <t>AnhoNac</t>
  </si>
  <si>
    <t>MesNac</t>
  </si>
  <si>
    <t>DiaNac</t>
  </si>
  <si>
    <t>LugarNac</t>
  </si>
  <si>
    <t>PaisNac</t>
  </si>
  <si>
    <t>DatosExactosNac</t>
  </si>
  <si>
    <t>AnhoBtzo</t>
  </si>
  <si>
    <t>MesBtzo</t>
  </si>
  <si>
    <t>DiaBtzo</t>
  </si>
  <si>
    <t>LugarBtzo</t>
  </si>
  <si>
    <t>PaisBtzo</t>
  </si>
  <si>
    <t>DatosExactosBtzo</t>
  </si>
  <si>
    <t>AnhoMatr</t>
  </si>
  <si>
    <t>MesMatr</t>
  </si>
  <si>
    <t>DiaMatr</t>
  </si>
  <si>
    <t>LugarMatr</t>
  </si>
  <si>
    <t>PaisMatr</t>
  </si>
  <si>
    <t>DatosExactosMatr</t>
  </si>
  <si>
    <t>Vive</t>
  </si>
  <si>
    <t>AnhoDef</t>
  </si>
  <si>
    <t>MesDef</t>
  </si>
  <si>
    <t>DiaDef</t>
  </si>
  <si>
    <t>LugarDef</t>
  </si>
  <si>
    <t>PaisDef</t>
  </si>
  <si>
    <t>DatosExactosDef</t>
  </si>
  <si>
    <t>Sexo</t>
  </si>
  <si>
    <t>Observaciones</t>
  </si>
  <si>
    <t>NombreCompleto</t>
  </si>
  <si>
    <t>Cliente:</t>
  </si>
  <si>
    <t>♂</t>
  </si>
  <si>
    <t>♀</t>
  </si>
  <si>
    <t>EscalID</t>
  </si>
  <si>
    <t>IDPrincipal</t>
  </si>
  <si>
    <t>IDAbueloP</t>
  </si>
  <si>
    <t>IDAbuelaP</t>
  </si>
  <si>
    <t>IDAbueloM</t>
  </si>
  <si>
    <t>IDAbuelaM</t>
  </si>
  <si>
    <t>Nombre</t>
  </si>
  <si>
    <t>Árbol Genealógico</t>
  </si>
  <si>
    <t>IDSeleccion</t>
  </si>
  <si>
    <t>IDHijos</t>
  </si>
  <si>
    <t>Ascendencia</t>
  </si>
  <si>
    <t>IDBisabueloPP</t>
  </si>
  <si>
    <t>IDBisabuelaPP</t>
  </si>
  <si>
    <t>IDBisabueloPM</t>
  </si>
  <si>
    <t>IDBisabuelaPM</t>
  </si>
  <si>
    <t>IDBisabueloMP</t>
  </si>
  <si>
    <t>IDBisabuelaMP</t>
  </si>
  <si>
    <t>IDBisabueloMM</t>
  </si>
  <si>
    <t>IDBisabuelaMM</t>
  </si>
  <si>
    <t>EscalaID</t>
  </si>
  <si>
    <t>Ascendencia:</t>
  </si>
  <si>
    <t>Descendencia:</t>
  </si>
  <si>
    <t>Hijo 1</t>
  </si>
  <si>
    <t>Hijo 2</t>
  </si>
  <si>
    <t>Hijo 3</t>
  </si>
  <si>
    <t>Hijo 4</t>
  </si>
  <si>
    <t>Hijo 5</t>
  </si>
  <si>
    <t>Hijo 6</t>
  </si>
  <si>
    <t>Hijo 7</t>
  </si>
  <si>
    <t>Hijo 8</t>
  </si>
  <si>
    <t>Hijo 9</t>
  </si>
  <si>
    <t>Hijo 10</t>
  </si>
  <si>
    <t>Hijo 11</t>
  </si>
  <si>
    <t>Hijo 12</t>
  </si>
  <si>
    <t>Hijo 13</t>
  </si>
  <si>
    <t>Hijo 14</t>
  </si>
  <si>
    <t>Hijo 15</t>
  </si>
  <si>
    <t>Nacimiento</t>
  </si>
  <si>
    <t>Bautizo</t>
  </si>
  <si>
    <t>Matrimonio</t>
  </si>
  <si>
    <t>Defunción</t>
  </si>
  <si>
    <t>IDAsc</t>
  </si>
  <si>
    <t>Descendencia (Hijos)</t>
  </si>
  <si>
    <t>Árbol completo</t>
  </si>
  <si>
    <t>Hombre</t>
  </si>
  <si>
    <t>Mujer</t>
  </si>
  <si>
    <t>Carmen</t>
  </si>
  <si>
    <t>Generación:</t>
  </si>
  <si>
    <t>Nombres:</t>
  </si>
  <si>
    <t>Apellidos:</t>
  </si>
  <si>
    <t>Año:</t>
  </si>
  <si>
    <t>Mes:</t>
  </si>
  <si>
    <t>Día:</t>
  </si>
  <si>
    <t>Datos de Nacimiento</t>
  </si>
  <si>
    <t>Lugar:</t>
  </si>
  <si>
    <t>País:</t>
  </si>
  <si>
    <t>Datos Exactos:</t>
  </si>
  <si>
    <t>Si</t>
  </si>
  <si>
    <t>No</t>
  </si>
  <si>
    <t>Datos de Bautizo</t>
  </si>
  <si>
    <t>Datos de Matrimonio</t>
  </si>
  <si>
    <t>Datos de Defunción</t>
  </si>
  <si>
    <t>Vive:</t>
  </si>
  <si>
    <t>Sexo:</t>
  </si>
  <si>
    <t>Padre</t>
  </si>
  <si>
    <t>Madre</t>
  </si>
  <si>
    <t>ID Padre</t>
  </si>
  <si>
    <t>ID Madre</t>
  </si>
  <si>
    <t>Caracas / Distrito Capital</t>
  </si>
  <si>
    <t>Venezuela</t>
  </si>
  <si>
    <t>IDMayor</t>
  </si>
  <si>
    <t>PersonaNueva</t>
  </si>
  <si>
    <t>SexoIDPpal</t>
  </si>
  <si>
    <t>Luis Carlos</t>
  </si>
  <si>
    <t>Maracay / Aragua</t>
  </si>
  <si>
    <t>Alejandro</t>
  </si>
  <si>
    <t xml:space="preserve">Cantaura / Anzoátegui </t>
  </si>
  <si>
    <t>Gómez López</t>
  </si>
  <si>
    <t xml:space="preserve">Aragua de Barcelona / Anzoátegui </t>
  </si>
  <si>
    <t>José María</t>
  </si>
  <si>
    <t>Valle de La Pascua / Guárico</t>
  </si>
  <si>
    <t>Luisa Margarita</t>
  </si>
  <si>
    <t>Hernández Núñez</t>
  </si>
  <si>
    <t>Santa Maria de Ipire / Guárico</t>
  </si>
  <si>
    <t>En el acta de defunción se su padre aparace como Luisa Margot.</t>
  </si>
  <si>
    <t>Clara Elena</t>
  </si>
  <si>
    <t>Romualdo</t>
  </si>
  <si>
    <t>Gómez</t>
  </si>
  <si>
    <t>Leonarda</t>
  </si>
  <si>
    <t>López Méndez</t>
  </si>
  <si>
    <t>Puerto Cabello / Carabobo</t>
  </si>
  <si>
    <t>Luisa Dolores</t>
  </si>
  <si>
    <t>Baruta / Miranda</t>
  </si>
  <si>
    <t>Luis Rafael</t>
  </si>
  <si>
    <t>Hernández Barrios</t>
  </si>
  <si>
    <t>Municipio Crespo / Aragua</t>
  </si>
  <si>
    <t>Adela</t>
  </si>
  <si>
    <t>Núñez Ruiz</t>
  </si>
  <si>
    <t>El Chaparro / Anzoátegui</t>
  </si>
  <si>
    <t>Pablo</t>
  </si>
  <si>
    <t>Críspula</t>
  </si>
  <si>
    <t>Pérez</t>
  </si>
  <si>
    <t>Francisca Antonia</t>
  </si>
  <si>
    <t>Martínez Baduel</t>
  </si>
  <si>
    <t>Santos</t>
  </si>
  <si>
    <t>Hernández Ochoa</t>
  </si>
  <si>
    <t>Julia</t>
  </si>
  <si>
    <t>Barrios</t>
  </si>
  <si>
    <t>Sancho</t>
  </si>
  <si>
    <t>Núñez</t>
  </si>
  <si>
    <t>María de Jesús</t>
  </si>
  <si>
    <t>Ruiz</t>
  </si>
  <si>
    <t>Encarnación</t>
  </si>
  <si>
    <t>de Gómez</t>
  </si>
  <si>
    <t>María</t>
  </si>
  <si>
    <t>Lismes</t>
  </si>
  <si>
    <t>Leopardo</t>
  </si>
  <si>
    <t>Delfin</t>
  </si>
  <si>
    <t>Luis</t>
  </si>
  <si>
    <t>Barbaray</t>
  </si>
  <si>
    <t>Luis Cristian</t>
  </si>
  <si>
    <t>Carmen Adriana</t>
  </si>
  <si>
    <t>Juan Carlos</t>
  </si>
  <si>
    <t>María Margarita</t>
  </si>
  <si>
    <t>Ana</t>
  </si>
  <si>
    <t>Crispula</t>
  </si>
  <si>
    <t>José Luis</t>
  </si>
  <si>
    <t>Francisco</t>
  </si>
  <si>
    <t>Adelaida</t>
  </si>
  <si>
    <t>Carlos Enrique</t>
  </si>
  <si>
    <t>Marian</t>
  </si>
  <si>
    <t>María Manuela</t>
  </si>
  <si>
    <t>Zerpa</t>
  </si>
  <si>
    <t>Roberto José</t>
  </si>
  <si>
    <t>Pedro José</t>
  </si>
  <si>
    <t>Bazó Gómez</t>
  </si>
  <si>
    <t>Bazó Centeno</t>
  </si>
  <si>
    <t>Bazó Barolleta</t>
  </si>
  <si>
    <t>Bazó Canelón</t>
  </si>
  <si>
    <t>Canelón Hernández</t>
  </si>
  <si>
    <t>Canelón Pérez</t>
  </si>
  <si>
    <t>Canelón Navarro</t>
  </si>
  <si>
    <t>Carlos Alberto</t>
  </si>
  <si>
    <t>Alejandro Enrique</t>
  </si>
  <si>
    <t>Elia María</t>
  </si>
  <si>
    <t>Miriam Carolina</t>
  </si>
  <si>
    <t>Canelón Bustamante</t>
  </si>
  <si>
    <t>Bustamante Martínez</t>
  </si>
  <si>
    <t>Bustamante Zerpa</t>
  </si>
  <si>
    <t>Bustamante Buros</t>
  </si>
  <si>
    <t>Centeno Gil</t>
  </si>
  <si>
    <t>Gómez Iragorri</t>
  </si>
  <si>
    <t>Josefina</t>
  </si>
  <si>
    <t>Pedro Jesús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</si>
</sst>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ID&quot;\ #"/>
  </numFmts>
  <fonts count="24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9"/>
      <color rgb="FFC00000"/>
      <name val="Times New Roman"/>
      <family val="1"/>
    </font>
    <font>
      <b/>
      <sz val="9"/>
      <color rgb="FF0070C0"/>
      <name val="Times New Roman"/>
      <family val="1"/>
    </font>
    <font>
      <b/>
      <sz val="20"/>
      <color theme="3" tint="-0.49998474074526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color rgb="FF000000"/>
      <name val="Calibri"/>
      <family val="2"/>
    </font>
    <font>
      <sz val="11"/>
      <color rgb="FF000000"/>
      <name val="Calibri"/>
      <family val="2"/>
    </font>
    <font>
      <b/>
      <sz val="8"/>
      <name val="Calibri"/>
      <family val="2"/>
      <scheme val="minor"/>
    </font>
    <font>
      <b/>
      <sz val="8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color rgb="FF000000"/>
      <name val="Calibri"/>
      <family val="2"/>
    </font>
    <font>
      <b/>
      <sz val="6"/>
      <color theme="0" tint="-0.34998626667073579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4" borderId="0" xfId="0" applyFont="1" applyFill="1"/>
    <xf numFmtId="0" fontId="6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3" fillId="5" borderId="0" xfId="0" applyFont="1" applyFill="1"/>
    <xf numFmtId="0" fontId="3" fillId="7" borderId="0" xfId="0" applyFont="1" applyFill="1"/>
    <xf numFmtId="0" fontId="3" fillId="7" borderId="8" xfId="0" applyFont="1" applyFill="1" applyBorder="1"/>
    <xf numFmtId="0" fontId="3" fillId="6" borderId="9" xfId="0" applyFont="1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1" fillId="6" borderId="0" xfId="0" applyFont="1" applyFill="1" applyBorder="1" applyAlignment="1">
      <alignment horizontal="center"/>
    </xf>
    <xf numFmtId="0" fontId="3" fillId="6" borderId="14" xfId="0" applyFont="1" applyFill="1" applyBorder="1"/>
    <xf numFmtId="0" fontId="3" fillId="6" borderId="15" xfId="0" applyFont="1" applyFill="1" applyBorder="1"/>
    <xf numFmtId="0" fontId="3" fillId="6" borderId="16" xfId="0" applyFont="1" applyFill="1" applyBorder="1"/>
    <xf numFmtId="0" fontId="9" fillId="6" borderId="0" xfId="0" applyFont="1" applyFill="1" applyBorder="1" applyAlignment="1">
      <alignment horizontal="center"/>
    </xf>
    <xf numFmtId="0" fontId="12" fillId="0" borderId="0" xfId="0" applyFont="1"/>
    <xf numFmtId="1" fontId="2" fillId="0" borderId="0" xfId="0" applyNumberFormat="1" applyFont="1"/>
    <xf numFmtId="0" fontId="2" fillId="3" borderId="0" xfId="0" applyFont="1" applyFill="1"/>
    <xf numFmtId="0" fontId="2" fillId="0" borderId="0" xfId="0" applyFont="1" applyFill="1"/>
    <xf numFmtId="0" fontId="13" fillId="4" borderId="0" xfId="0" applyFont="1" applyFill="1" applyAlignment="1">
      <alignment horizontal="center"/>
    </xf>
    <xf numFmtId="0" fontId="12" fillId="4" borderId="0" xfId="0" applyFont="1" applyFill="1" applyBorder="1"/>
    <xf numFmtId="0" fontId="8" fillId="2" borderId="1" xfId="0" applyFont="1" applyFill="1" applyBorder="1" applyAlignment="1">
      <alignment horizontal="center" shrinkToFit="1"/>
    </xf>
    <xf numFmtId="0" fontId="8" fillId="2" borderId="2" xfId="0" applyFont="1" applyFill="1" applyBorder="1" applyAlignment="1">
      <alignment horizontal="center" shrinkToFit="1"/>
    </xf>
    <xf numFmtId="0" fontId="8" fillId="2" borderId="3" xfId="0" applyFont="1" applyFill="1" applyBorder="1" applyAlignment="1">
      <alignment horizontal="center" shrinkToFit="1"/>
    </xf>
    <xf numFmtId="0" fontId="8" fillId="8" borderId="1" xfId="0" applyFont="1" applyFill="1" applyBorder="1" applyAlignment="1">
      <alignment horizontal="center" shrinkToFit="1"/>
    </xf>
    <xf numFmtId="0" fontId="8" fillId="8" borderId="2" xfId="0" applyFont="1" applyFill="1" applyBorder="1" applyAlignment="1">
      <alignment horizontal="center" shrinkToFit="1"/>
    </xf>
    <xf numFmtId="0" fontId="8" fillId="8" borderId="3" xfId="0" applyFont="1" applyFill="1" applyBorder="1" applyAlignment="1">
      <alignment horizontal="center" shrinkToFit="1"/>
    </xf>
    <xf numFmtId="0" fontId="1" fillId="9" borderId="1" xfId="0" applyFont="1" applyFill="1" applyBorder="1" applyAlignment="1">
      <alignment horizontal="center" shrinkToFit="1"/>
    </xf>
    <xf numFmtId="0" fontId="1" fillId="9" borderId="2" xfId="0" applyFont="1" applyFill="1" applyBorder="1" applyAlignment="1">
      <alignment horizontal="center" shrinkToFit="1"/>
    </xf>
    <xf numFmtId="0" fontId="1" fillId="9" borderId="3" xfId="0" applyFont="1" applyFill="1" applyBorder="1" applyAlignment="1">
      <alignment horizontal="center" shrinkToFit="1"/>
    </xf>
    <xf numFmtId="0" fontId="1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0" fontId="8" fillId="0" borderId="0" xfId="0" applyFont="1"/>
    <xf numFmtId="1" fontId="8" fillId="0" borderId="0" xfId="0" applyNumberFormat="1" applyFont="1"/>
    <xf numFmtId="0" fontId="8" fillId="2" borderId="0" xfId="0" applyFont="1" applyFill="1"/>
    <xf numFmtId="0" fontId="4" fillId="6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164" fontId="16" fillId="4" borderId="0" xfId="0" applyNumberFormat="1" applyFont="1" applyFill="1" applyAlignment="1" applyProtection="1">
      <alignment horizontal="right"/>
    </xf>
    <xf numFmtId="0" fontId="21" fillId="3" borderId="0" xfId="0" applyFont="1" applyFill="1"/>
    <xf numFmtId="0" fontId="23" fillId="4" borderId="0" xfId="0" applyFont="1" applyFill="1" applyAlignment="1">
      <alignment horizontal="right"/>
    </xf>
    <xf numFmtId="0" fontId="12" fillId="4" borderId="0" xfId="0" applyFont="1" applyFill="1" applyBorder="1" applyAlignment="1">
      <alignment vertical="top" wrapText="1"/>
    </xf>
    <xf numFmtId="0" fontId="22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8" fillId="6" borderId="0" xfId="0" applyFont="1" applyFill="1" applyAlignment="1" applyProtection="1">
      <alignment horizontal="justify" vertical="top" wrapText="1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00000000-0005-0000-0000-000001000000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16" fmlaLink="Control!$A$25" fmlaRange="Ascendencia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16" fmlaLink="Control!$F$25" fmlaRange="Descendencia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ist" dx="16" fmlaLink="Control!$C$3" fmlaRange="ArbolCompleto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List" dx="16" fmlaLink="Edicion!$L$17" fmlaRange="ArbolCompleto" noThreeD="1" sel="0" val="0"/>
</file>

<file path=xl/ctrlProps/ctrlProp15.xml><?xml version="1.0" encoding="utf-8"?>
<formControlPr xmlns="http://schemas.microsoft.com/office/spreadsheetml/2009/9/main" objectType="List" dx="16" fmlaLink="$L$33" fmlaRange="ArbolCompleto" noThreeD="1" sel="0" val="0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457200</xdr:colOff>
          <xdr:row>3</xdr:row>
          <xdr:rowOff>137160</xdr:rowOff>
        </xdr:from>
        <xdr:to>
          <xdr:col>1</xdr:col>
          <xdr:colOff>2019300</xdr:colOff>
          <xdr:row>15</xdr:row>
          <xdr:rowOff>121920</xdr:rowOff>
        </xdr:to>
        <xdr:sp macro="" textlink="">
          <xdr:nvSpPr>
            <xdr:cNvPr id="1026" name="List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16</xdr:row>
          <xdr:rowOff>76200</xdr:rowOff>
        </xdr:from>
        <xdr:to>
          <xdr:col>1</xdr:col>
          <xdr:colOff>1455420</xdr:colOff>
          <xdr:row>17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457200</xdr:colOff>
          <xdr:row>23</xdr:row>
          <xdr:rowOff>137160</xdr:rowOff>
        </xdr:from>
        <xdr:to>
          <xdr:col>1</xdr:col>
          <xdr:colOff>2019300</xdr:colOff>
          <xdr:row>36</xdr:row>
          <xdr:rowOff>45720</xdr:rowOff>
        </xdr:to>
        <xdr:sp macro="" textlink="">
          <xdr:nvSpPr>
            <xdr:cNvPr id="1028" name="List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12</xdr:row>
          <xdr:rowOff>144780</xdr:rowOff>
        </xdr:from>
        <xdr:to>
          <xdr:col>3</xdr:col>
          <xdr:colOff>1188720</xdr:colOff>
          <xdr:row>14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899160</xdr:colOff>
          <xdr:row>26</xdr:row>
          <xdr:rowOff>68580</xdr:rowOff>
        </xdr:from>
        <xdr:to>
          <xdr:col>3</xdr:col>
          <xdr:colOff>1203960</xdr:colOff>
          <xdr:row>27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57150</xdr:colOff>
      <xdr:row>4</xdr:row>
      <xdr:rowOff>38100</xdr:rowOff>
    </xdr:from>
    <xdr:to>
      <xdr:col>2</xdr:col>
      <xdr:colOff>190500</xdr:colOff>
      <xdr:row>5</xdr:row>
      <xdr:rowOff>114300</xdr:rowOff>
    </xdr:to>
    <xdr:sp macro="" textlink="">
      <xdr:nvSpPr>
        <xdr:cNvPr id="3" name="2 Cerrar lla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2700" y="876300"/>
          <a:ext cx="133350" cy="2286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2</xdr:col>
      <xdr:colOff>57150</xdr:colOff>
      <xdr:row>5</xdr:row>
      <xdr:rowOff>142875</xdr:rowOff>
    </xdr:from>
    <xdr:to>
      <xdr:col>2</xdr:col>
      <xdr:colOff>190500</xdr:colOff>
      <xdr:row>9</xdr:row>
      <xdr:rowOff>19275</xdr:rowOff>
    </xdr:to>
    <xdr:sp macro="" textlink="">
      <xdr:nvSpPr>
        <xdr:cNvPr id="9" name="8 Cerrar llav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552700" y="1133475"/>
          <a:ext cx="133350" cy="486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2</xdr:col>
      <xdr:colOff>57150</xdr:colOff>
      <xdr:row>9</xdr:row>
      <xdr:rowOff>47625</xdr:rowOff>
    </xdr:from>
    <xdr:to>
      <xdr:col>2</xdr:col>
      <xdr:colOff>190500</xdr:colOff>
      <xdr:row>15</xdr:row>
      <xdr:rowOff>141225</xdr:rowOff>
    </xdr:to>
    <xdr:sp macro="" textlink="">
      <xdr:nvSpPr>
        <xdr:cNvPr id="10" name="9 Cerrar llav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552700" y="1647825"/>
          <a:ext cx="133350" cy="1008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2</xdr:col>
      <xdr:colOff>152400</xdr:colOff>
      <xdr:row>4</xdr:row>
      <xdr:rowOff>38100</xdr:rowOff>
    </xdr:from>
    <xdr:to>
      <xdr:col>3</xdr:col>
      <xdr:colOff>504825</xdr:colOff>
      <xdr:row>5</xdr:row>
      <xdr:rowOff>57150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47950" y="876300"/>
          <a:ext cx="8001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800">
              <a:solidFill>
                <a:schemeClr val="tx2"/>
              </a:solidFill>
            </a:rPr>
            <a:t>Padres</a:t>
          </a:r>
        </a:p>
      </xdr:txBody>
    </xdr:sp>
    <xdr:clientData/>
  </xdr:twoCellAnchor>
  <xdr:twoCellAnchor>
    <xdr:from>
      <xdr:col>2</xdr:col>
      <xdr:colOff>152400</xdr:colOff>
      <xdr:row>6</xdr:row>
      <xdr:rowOff>133350</xdr:rowOff>
    </xdr:from>
    <xdr:to>
      <xdr:col>3</xdr:col>
      <xdr:colOff>504825</xdr:colOff>
      <xdr:row>8</xdr:row>
      <xdr:rowOff>0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647950" y="1276350"/>
          <a:ext cx="8001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800">
              <a:solidFill>
                <a:schemeClr val="tx2"/>
              </a:solidFill>
            </a:rPr>
            <a:t>Abuelos</a:t>
          </a:r>
        </a:p>
      </xdr:txBody>
    </xdr:sp>
    <xdr:clientData/>
  </xdr:twoCellAnchor>
  <xdr:twoCellAnchor>
    <xdr:from>
      <xdr:col>2</xdr:col>
      <xdr:colOff>161925</xdr:colOff>
      <xdr:row>11</xdr:row>
      <xdr:rowOff>142875</xdr:rowOff>
    </xdr:from>
    <xdr:to>
      <xdr:col>3</xdr:col>
      <xdr:colOff>514350</xdr:colOff>
      <xdr:row>13</xdr:row>
      <xdr:rowOff>9525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657475" y="2047875"/>
          <a:ext cx="8001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VE" sz="800">
              <a:solidFill>
                <a:schemeClr val="tx2"/>
              </a:solidFill>
            </a:rPr>
            <a:t>Bisabuelos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426720</xdr:colOff>
          <xdr:row>29</xdr:row>
          <xdr:rowOff>137160</xdr:rowOff>
        </xdr:from>
        <xdr:to>
          <xdr:col>3</xdr:col>
          <xdr:colOff>2019300</xdr:colOff>
          <xdr:row>36</xdr:row>
          <xdr:rowOff>30480</xdr:rowOff>
        </xdr:to>
        <xdr:sp macro="" textlink="">
          <xdr:nvSpPr>
            <xdr:cNvPr id="1032" name="List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37</xdr:row>
          <xdr:rowOff>0</xdr:rowOff>
        </xdr:from>
        <xdr:to>
          <xdr:col>1</xdr:col>
          <xdr:colOff>1409700</xdr:colOff>
          <xdr:row>38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hijo</a:t>
              </a:r>
            </a:p>
            <a:p>
              <a:pPr algn="ctr" rtl="0">
                <a:defRPr sz="1000"/>
              </a:pPr>
              <a:endParaRPr lang="es-V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36</xdr:row>
          <xdr:rowOff>144780</xdr:rowOff>
        </xdr:from>
        <xdr:to>
          <xdr:col>3</xdr:col>
          <xdr:colOff>1402080</xdr:colOff>
          <xdr:row>38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persona</a:t>
              </a:r>
            </a:p>
            <a:p>
              <a:pPr algn="ctr" rtl="0">
                <a:defRPr sz="1000"/>
              </a:pPr>
              <a:endParaRPr lang="es-VE" sz="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937260</xdr:colOff>
          <xdr:row>37</xdr:row>
          <xdr:rowOff>0</xdr:rowOff>
        </xdr:from>
        <xdr:to>
          <xdr:col>8</xdr:col>
          <xdr:colOff>1798320</xdr:colOff>
          <xdr:row>38</xdr:row>
          <xdr:rowOff>60960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13</xdr:row>
          <xdr:rowOff>106680</xdr:rowOff>
        </xdr:from>
        <xdr:to>
          <xdr:col>6</xdr:col>
          <xdr:colOff>373380</xdr:colOff>
          <xdr:row>15</xdr:row>
          <xdr:rowOff>30480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17</xdr:row>
          <xdr:rowOff>106680</xdr:rowOff>
        </xdr:from>
        <xdr:to>
          <xdr:col>6</xdr:col>
          <xdr:colOff>381000</xdr:colOff>
          <xdr:row>19</xdr:row>
          <xdr:rowOff>30480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21</xdr:row>
          <xdr:rowOff>114300</xdr:rowOff>
        </xdr:from>
        <xdr:to>
          <xdr:col>6</xdr:col>
          <xdr:colOff>381000</xdr:colOff>
          <xdr:row>23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25</xdr:row>
          <xdr:rowOff>114300</xdr:rowOff>
        </xdr:from>
        <xdr:to>
          <xdr:col>6</xdr:col>
          <xdr:colOff>388620</xdr:colOff>
          <xdr:row>27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VE" sz="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◄◄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121920</xdr:colOff>
      <xdr:row>0</xdr:row>
      <xdr:rowOff>29680</xdr:rowOff>
    </xdr:from>
    <xdr:to>
      <xdr:col>1</xdr:col>
      <xdr:colOff>614311</xdr:colOff>
      <xdr:row>0</xdr:row>
      <xdr:rowOff>370353</xdr:rowOff>
    </xdr:to>
    <xdr:pic>
      <xdr:nvPicPr>
        <xdr:cNvPr id="22" name="Imagen 21" descr="Imagen que contiene Forma&#10;&#10;Descripción generada automáticament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" y="29680"/>
          <a:ext cx="980071" cy="3406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47625</xdr:rowOff>
    </xdr:from>
    <xdr:to>
      <xdr:col>2</xdr:col>
      <xdr:colOff>9525</xdr:colOff>
      <xdr:row>0</xdr:row>
      <xdr:rowOff>345281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47625"/>
          <a:ext cx="714375" cy="2976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</xdr:colOff>
          <xdr:row>3</xdr:row>
          <xdr:rowOff>60960</xdr:rowOff>
        </xdr:from>
        <xdr:to>
          <xdr:col>12</xdr:col>
          <xdr:colOff>754380</xdr:colOff>
          <xdr:row>14</xdr:row>
          <xdr:rowOff>182880</xdr:rowOff>
        </xdr:to>
        <xdr:sp macro="" textlink="">
          <xdr:nvSpPr>
            <xdr:cNvPr id="2053" name="List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</xdr:colOff>
          <xdr:row>19</xdr:row>
          <xdr:rowOff>60960</xdr:rowOff>
        </xdr:from>
        <xdr:to>
          <xdr:col>12</xdr:col>
          <xdr:colOff>754380</xdr:colOff>
          <xdr:row>30</xdr:row>
          <xdr:rowOff>182880</xdr:rowOff>
        </xdr:to>
        <xdr:sp macro="" textlink="">
          <xdr:nvSpPr>
            <xdr:cNvPr id="2054" name="List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632460</xdr:colOff>
          <xdr:row>36</xdr:row>
          <xdr:rowOff>144780</xdr:rowOff>
        </xdr:from>
        <xdr:to>
          <xdr:col>8</xdr:col>
          <xdr:colOff>731520</xdr:colOff>
          <xdr:row>37</xdr:row>
          <xdr:rowOff>160020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36</xdr:row>
          <xdr:rowOff>152400</xdr:rowOff>
        </xdr:from>
        <xdr:to>
          <xdr:col>7</xdr:col>
          <xdr:colOff>495300</xdr:colOff>
          <xdr:row>37</xdr:row>
          <xdr:rowOff>175260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AH54" totalsRowShown="0" headerRowDxfId="62" dataDxfId="61">
  <autoFilter ref="A1:AH54" xr:uid="{00000000-0009-0000-0100-000001000000}"/>
  <tableColumns count="34">
    <tableColumn id="1" xr3:uid="{00000000-0010-0000-0000-000001000000}" name="ID" dataDxfId="60"/>
    <tableColumn id="2" xr3:uid="{00000000-0010-0000-0000-000002000000}" name="IDPadre" dataDxfId="59"/>
    <tableColumn id="3" xr3:uid="{00000000-0010-0000-0000-000003000000}" name="IDMadre" dataDxfId="58"/>
    <tableColumn id="4" xr3:uid="{00000000-0010-0000-0000-000004000000}" name="Generacion" dataDxfId="57"/>
    <tableColumn id="5" xr3:uid="{00000000-0010-0000-0000-000005000000}" name="Nombres" dataDxfId="56"/>
    <tableColumn id="6" xr3:uid="{00000000-0010-0000-0000-000006000000}" name="Apellidos" dataDxfId="55"/>
    <tableColumn id="22" xr3:uid="{00000000-0010-0000-0000-000016000000}" name="AnhoNac" dataDxfId="54"/>
    <tableColumn id="21" xr3:uid="{00000000-0010-0000-0000-000015000000}" name="MesNac" dataDxfId="53"/>
    <tableColumn id="20" xr3:uid="{00000000-0010-0000-0000-000014000000}" name="DiaNac" dataDxfId="52"/>
    <tableColumn id="8" xr3:uid="{00000000-0010-0000-0000-000008000000}" name="LugarNac" dataDxfId="51"/>
    <tableColumn id="9" xr3:uid="{00000000-0010-0000-0000-000009000000}" name="PaisNac" dataDxfId="50"/>
    <tableColumn id="23" xr3:uid="{00000000-0010-0000-0000-000017000000}" name="DatosExactosNac" dataDxfId="49"/>
    <tableColumn id="10" xr3:uid="{00000000-0010-0000-0000-00000A000000}" name="AnhoBtzo" dataDxfId="48"/>
    <tableColumn id="26" xr3:uid="{00000000-0010-0000-0000-00001A000000}" name="MesBtzo" dataDxfId="47"/>
    <tableColumn id="25" xr3:uid="{00000000-0010-0000-0000-000019000000}" name="DiaBtzo" dataDxfId="46"/>
    <tableColumn id="11" xr3:uid="{00000000-0010-0000-0000-00000B000000}" name="LugarBtzo" dataDxfId="45"/>
    <tableColumn id="12" xr3:uid="{00000000-0010-0000-0000-00000C000000}" name="PaisBtzo" dataDxfId="44"/>
    <tableColumn id="27" xr3:uid="{00000000-0010-0000-0000-00001B000000}" name="DatosExactosBtzo" dataDxfId="43"/>
    <tableColumn id="30" xr3:uid="{00000000-0010-0000-0000-00001E000000}" name="AnhoMatr" dataDxfId="42"/>
    <tableColumn id="29" xr3:uid="{00000000-0010-0000-0000-00001D000000}" name="MesMatr" dataDxfId="41"/>
    <tableColumn id="28" xr3:uid="{00000000-0010-0000-0000-00001C000000}" name="DiaMatr" dataDxfId="40"/>
    <tableColumn id="14" xr3:uid="{00000000-0010-0000-0000-00000E000000}" name="LugarMatr" dataDxfId="39"/>
    <tableColumn id="15" xr3:uid="{00000000-0010-0000-0000-00000F000000}" name="PaisMatr" dataDxfId="38"/>
    <tableColumn id="32" xr3:uid="{00000000-0010-0000-0000-000020000000}" name="DatosExactosMatr" dataDxfId="37"/>
    <tableColumn id="13" xr3:uid="{00000000-0010-0000-0000-00000D000000}" name="Vive" dataDxfId="36"/>
    <tableColumn id="35" xr3:uid="{00000000-0010-0000-0000-000023000000}" name="AnhoDef" dataDxfId="35"/>
    <tableColumn id="34" xr3:uid="{00000000-0010-0000-0000-000022000000}" name="MesDef" dataDxfId="34"/>
    <tableColumn id="33" xr3:uid="{00000000-0010-0000-0000-000021000000}" name="DiaDef" dataDxfId="33"/>
    <tableColumn id="17" xr3:uid="{00000000-0010-0000-0000-000011000000}" name="LugarDef" dataDxfId="32"/>
    <tableColumn id="18" xr3:uid="{00000000-0010-0000-0000-000012000000}" name="PaisDef" dataDxfId="31"/>
    <tableColumn id="36" xr3:uid="{00000000-0010-0000-0000-000024000000}" name="DatosExactosDef" dataDxfId="30"/>
    <tableColumn id="7" xr3:uid="{00000000-0010-0000-0000-000007000000}" name="Sexo" dataDxfId="29"/>
    <tableColumn id="24" xr3:uid="{00000000-0010-0000-0000-000018000000}" name="Observaciones" dataDxfId="28"/>
    <tableColumn id="19" xr3:uid="{00000000-0010-0000-0000-000013000000}" name="NombreCompleto" dataDxfId="27">
      <calculatedColumnFormula>IF(E2&amp;", "&amp;F2=", ","",E2&amp;", "&amp;F2)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A2:D17" totalsRowShown="0" headerRowDxfId="26" dataDxfId="25">
  <autoFilter ref="A2:D17" xr:uid="{00000000-0009-0000-0100-000003000000}"/>
  <tableColumns count="4">
    <tableColumn id="1" xr3:uid="{00000000-0010-0000-0100-000001000000}" name="ID" dataDxfId="24"/>
    <tableColumn id="2" xr3:uid="{00000000-0010-0000-0100-000002000000}" name="EscalID" dataDxfId="23"/>
    <tableColumn id="3" xr3:uid="{00000000-0010-0000-0100-000003000000}" name="IDAsc" dataDxfId="22"/>
    <tableColumn id="4" xr3:uid="{00000000-0010-0000-0100-000004000000}" name="Nombre" dataDxfId="21">
      <calculatedColumnFormula>IFERROR(VLOOKUP(C3,Datos,COLUMN(Datos!$E:$E),0)&amp;", "&amp;VLOOKUP(C3,Datos,COLUMN(Datos!$F:$F),0),"")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F2:I17" totalsRowShown="0" headerRowDxfId="20" dataDxfId="19">
  <autoFilter ref="F2:I17" xr:uid="{00000000-0009-0000-0100-000004000000}"/>
  <tableColumns count="4">
    <tableColumn id="1" xr3:uid="{00000000-0010-0000-0200-000001000000}" name="ID" dataDxfId="18">
      <calculatedColumnFormula>F2+1</calculatedColumnFormula>
    </tableColumn>
    <tableColumn id="4" xr3:uid="{00000000-0010-0000-0200-000004000000}" name="EscalaID" dataDxfId="17"/>
    <tableColumn id="2" xr3:uid="{00000000-0010-0000-0200-000002000000}" name="IDHijos" dataDxfId="16">
      <calculatedColumnFormula>IFERROR(MATCH(IDPrincipal,INDIRECT("Datos!$B$"&amp;H2+2&amp;":$B$1048576"),0)+H2,IFERROR(MATCH(IDPrincipal,INDIRECT("Datos!$c$"&amp;H2+2&amp;":$c$1048576"),0)+H2,""))</calculatedColumnFormula>
    </tableColumn>
    <tableColumn id="3" xr3:uid="{00000000-0010-0000-0200-000003000000}" name="Nombres" dataDxfId="15">
      <calculatedColumnFormula>IFERROR(VLOOKUP(H3,Datos,COLUMN(Datos!$E:$E),0)&amp;", "&amp;VLOOKUP(H3,Datos,COLUMN(Datos!$F:$F),0),"")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F24:G25" totalsRowShown="0" headerRowDxfId="14">
  <autoFilter ref="F24:G25" xr:uid="{00000000-0009-0000-0100-000005000000}"/>
  <tableColumns count="2">
    <tableColumn id="1" xr3:uid="{00000000-0010-0000-0300-000001000000}" name="ID" dataDxfId="13"/>
    <tableColumn id="2" xr3:uid="{00000000-0010-0000-0300-000002000000}" name="IDSeleccion" dataDxfId="12">
      <calculatedColumnFormula>IFERROR(VLOOKUP(F25,Tabla4[],3,0),0)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2" displayName="Tabla2" ref="A24:B25" totalsRowShown="0" headerRowDxfId="11">
  <autoFilter ref="A24:B25" xr:uid="{00000000-0009-0000-0100-000002000000}"/>
  <tableColumns count="2">
    <tableColumn id="1" xr3:uid="{00000000-0010-0000-0400-000001000000}" name="ID" dataDxfId="10"/>
    <tableColumn id="2" xr3:uid="{00000000-0010-0000-0400-000002000000}" name="IDSeleccion" dataDxfId="9">
      <calculatedColumnFormula>VLOOKUP(A25+1,Tabla3[[ID]:[IDAsc]],3,0)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a7" displayName="Tabla7" ref="K2:K3" totalsRowShown="0" headerRowDxfId="8" dataDxfId="7">
  <autoFilter ref="K2:K3" xr:uid="{00000000-0009-0000-0100-000007000000}"/>
  <tableColumns count="1">
    <tableColumn id="1" xr3:uid="{00000000-0010-0000-0500-000001000000}" name="IDMayor" dataDxfId="6">
      <calculatedColumnFormula>MAX(Tabla1[ID])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K5:K6" totalsRowShown="0" headerRowDxfId="5" dataDxfId="4">
  <autoFilter ref="K5:K6" xr:uid="{00000000-0009-0000-0100-000009000000}"/>
  <tableColumns count="1">
    <tableColumn id="1" xr3:uid="{00000000-0010-0000-0600-000001000000}" name="PersonaNueva" dataDxfId="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la10" displayName="Tabla10" ref="K8:K9" totalsRowShown="0" headerRowDxfId="2" dataDxfId="1">
  <autoFilter ref="K8:K9" xr:uid="{00000000-0009-0000-0100-00000A000000}"/>
  <tableColumns count="1">
    <tableColumn id="1" xr3:uid="{00000000-0010-0000-0700-000001000000}" name="SexoIDPpal" dataDxfId="0">
      <calculatedColumnFormula>IFERROR(VLOOKUP($C$3,Datos,COLUMN(Datos!$AF:$AF),0),"")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3"/>
  </sheetPr>
  <dimension ref="A1:J36"/>
  <sheetViews>
    <sheetView showGridLines="0" tabSelected="1" workbookViewId="0">
      <pane ySplit="2" topLeftCell="A3" activePane="bottomLeft" state="frozen"/>
      <selection pane="bottomLeft" activeCell="E9" sqref="E9"/>
    </sheetView>
  </sheetViews>
  <sheetFormatPr baseColWidth="10" defaultColWidth="9.109375" defaultRowHeight="12" customHeight="1" x14ac:dyDescent="0.2"/>
  <cols>
    <col min="1" max="1" width="7.109375" style="4" bestFit="1" customWidth="1"/>
    <col min="2" max="2" width="30.6640625" style="4" customWidth="1"/>
    <col min="3" max="3" width="6.6640625" style="4" customWidth="1"/>
    <col min="4" max="4" width="30.6640625" style="4" customWidth="1"/>
    <col min="5" max="5" width="6.6640625" style="4" customWidth="1"/>
    <col min="6" max="6" width="30.6640625" style="4" customWidth="1"/>
    <col min="7" max="7" width="6.6640625" style="4" customWidth="1"/>
    <col min="8" max="8" width="2.6640625" style="4" customWidth="1"/>
    <col min="9" max="9" width="40.6640625" style="4" customWidth="1"/>
    <col min="10" max="10" width="2.6640625" style="4" customWidth="1"/>
    <col min="11" max="11" width="6.6640625" style="4" customWidth="1"/>
    <col min="12" max="16384" width="9.109375" style="4"/>
  </cols>
  <sheetData>
    <row r="1" spans="1:10" ht="30" customHeight="1" x14ac:dyDescent="0.2">
      <c r="B1" s="50" t="s">
        <v>44</v>
      </c>
      <c r="C1" s="50"/>
      <c r="D1" s="50"/>
      <c r="E1" s="50"/>
      <c r="F1" s="50"/>
      <c r="G1" s="50"/>
      <c r="H1" s="50"/>
      <c r="I1" s="50"/>
      <c r="J1" s="50"/>
    </row>
    <row r="2" spans="1:10" ht="15" customHeight="1" x14ac:dyDescent="0.3">
      <c r="A2" s="47" t="s">
        <v>34</v>
      </c>
      <c r="B2" s="49" t="str">
        <f>Datos!E2&amp;", "&amp;Datos!F2</f>
        <v>Pedro José, Bazó Canelón</v>
      </c>
      <c r="C2" s="49"/>
      <c r="D2" s="49"/>
      <c r="E2" s="49"/>
      <c r="F2" s="49"/>
      <c r="G2" s="49"/>
      <c r="H2" s="49"/>
      <c r="I2" s="49"/>
      <c r="J2" s="49"/>
    </row>
    <row r="3" spans="1:10" ht="12" customHeight="1" thickBot="1" x14ac:dyDescent="0.25"/>
    <row r="4" spans="1:10" ht="12" customHeight="1" x14ac:dyDescent="0.2">
      <c r="B4" s="9" t="s">
        <v>47</v>
      </c>
      <c r="H4" s="13"/>
      <c r="I4" s="14"/>
      <c r="J4" s="15"/>
    </row>
    <row r="5" spans="1:10" ht="12" customHeight="1" x14ac:dyDescent="0.3">
      <c r="H5" s="16"/>
      <c r="I5" s="22" t="str">
        <f>B20</f>
        <v>Pedro José, Bazó Canelón</v>
      </c>
      <c r="J5" s="17"/>
    </row>
    <row r="6" spans="1:10" ht="12" customHeight="1" x14ac:dyDescent="0.2">
      <c r="B6" s="10"/>
      <c r="H6" s="16"/>
      <c r="I6" s="28" t="str">
        <f>"Sexo: "&amp;IFERROR(VLOOKUP($B$19,Datos,COLUMN(Datos!$AF:$AF),0),"")</f>
        <v>Sexo: Hombre</v>
      </c>
      <c r="J6" s="17"/>
    </row>
    <row r="7" spans="1:10" ht="12" customHeight="1" x14ac:dyDescent="0.2">
      <c r="H7" s="16"/>
      <c r="I7" s="18" t="s">
        <v>74</v>
      </c>
      <c r="J7" s="17"/>
    </row>
    <row r="8" spans="1:10" ht="12" customHeight="1" x14ac:dyDescent="0.2">
      <c r="H8" s="16"/>
      <c r="I8" s="28" t="str">
        <f>"Fecha: "&amp;IFERROR(IF(VLOOKUP($B$19,Datos,COLUMN(Datos!$G:$G),0)=0,"","Año: "&amp;VLOOKUP($B$19,Datos,COLUMN(Datos!$G:$G),0)&amp;". "),"")&amp;
IFERROR(IF(VLOOKUP($B$19,Datos,COLUMN(Datos!$I:$I),0)=0,"","Mes: "&amp;VLOOKUP($B$19,Datos,COLUMN(Datos!$I:$I),0)&amp;". "),"")&amp;
IFERROR(IF(VLOOKUP($B$19,Datos,COLUMN(Datos!$H:$H),0)=0,"","Día: "&amp;VLOOKUP($B$19,Datos,COLUMN(Datos!$H:$H),0)&amp;"."),"")</f>
        <v>Fecha: Año: 1976. Mes: 6. Día: 12.</v>
      </c>
      <c r="J8" s="17"/>
    </row>
    <row r="9" spans="1:10" ht="12" customHeight="1" x14ac:dyDescent="0.2">
      <c r="H9" s="16"/>
      <c r="I9" s="28" t="str">
        <f>"Lugar: "&amp;IFERROR(IF(VLOOKUP($B$19,Datos,COLUMN(Datos!$J:$J),0)=0,"",VLOOKUP($B$19,Datos,COLUMN(Datos!$J:$J),0)&amp;"."),"")</f>
        <v>Lugar: Caracas / Distrito Capital.</v>
      </c>
      <c r="J9" s="17"/>
    </row>
    <row r="10" spans="1:10" ht="12" customHeight="1" x14ac:dyDescent="0.2">
      <c r="H10" s="16"/>
      <c r="I10" s="28" t="str">
        <f>"País: "&amp;IFERROR(IF(VLOOKUP($B$19,Datos,COLUMN(Datos!$K:$K),0)=0,"",VLOOKUP($B$19,Datos,COLUMN(Datos!$K:$K),0)&amp;"."),"")</f>
        <v>País: Venezuela.</v>
      </c>
      <c r="J10" s="17"/>
    </row>
    <row r="11" spans="1:10" ht="12" customHeight="1" x14ac:dyDescent="0.2">
      <c r="H11" s="16"/>
      <c r="I11" s="18" t="s">
        <v>75</v>
      </c>
      <c r="J11" s="17"/>
    </row>
    <row r="12" spans="1:10" ht="12" customHeight="1" x14ac:dyDescent="0.2">
      <c r="H12" s="16"/>
      <c r="I12" s="28" t="str">
        <f>"Fecha: "&amp;IFERROR(IF(VLOOKUP($B$19,Datos,COLUMN(Datos!$M:$M),0)=0,"","Año: "&amp;VLOOKUP($B$19,Datos,COLUMN(Datos!$M:$M),0)&amp;". "),"")&amp;
IFERROR(IF(VLOOKUP($B$19,Datos,COLUMN(Datos!$N:$N),0)=0,"","Mes: "&amp;VLOOKUP($B$19,Datos,COLUMN(Datos!$N:$N),0)&amp;". "),"")&amp;
IFERROR(IF(VLOOKUP($B$19,Datos,COLUMN(Datos!$O:$O),0)=0,"","Día: "&amp;VLOOKUP($B$19,Datos,COLUMN(Datos!$O:$O),0)&amp;"."),"")</f>
        <v xml:space="preserve">Fecha: </v>
      </c>
      <c r="J12" s="17"/>
    </row>
    <row r="13" spans="1:10" ht="12" customHeight="1" thickBot="1" x14ac:dyDescent="0.25">
      <c r="F13" s="45">
        <f>IF(IDAbueloP=0,"",IDAbueloP)</f>
        <v>4</v>
      </c>
      <c r="H13" s="16"/>
      <c r="I13" s="28" t="str">
        <f>"Lugar: "&amp;IFERROR(IF(VLOOKUP($B$19,Datos,COLUMN(Datos!$P:$P),0)=0,"",VLOOKUP($B$19,Datos,COLUMN(Datos!$P:$P),0)&amp;"."),"")</f>
        <v xml:space="preserve">Lugar: </v>
      </c>
      <c r="J13" s="17"/>
    </row>
    <row r="14" spans="1:10" ht="12" customHeight="1" x14ac:dyDescent="0.2">
      <c r="F14" s="35" t="str">
        <f>IF(F13=0,"",IFERROR(VLOOKUP(F13,Datos,COLUMN(Datos!$E:$E),0)&amp;", "&amp;VLOOKUP(F13,Datos,COLUMN(Datos!$F:$F),0),""))</f>
        <v>Alejandro Enrique, Bazó Centeno</v>
      </c>
      <c r="H14" s="16"/>
      <c r="I14" s="28" t="str">
        <f>"País: "&amp;IFERROR(IF(VLOOKUP($B$19,Datos,COLUMN(Datos!$Q:$Q),0)=0,"",VLOOKUP($B$19,Datos,COLUMN(Datos!$Q:$Q),0)&amp;"."),"")</f>
        <v xml:space="preserve">País: </v>
      </c>
      <c r="J14" s="17"/>
    </row>
    <row r="15" spans="1:10" ht="12" customHeight="1" thickBot="1" x14ac:dyDescent="0.25">
      <c r="D15" s="45">
        <f>IF(IDPadre=0,"",IDPadre)</f>
        <v>2</v>
      </c>
      <c r="E15" s="7" t="s">
        <v>35</v>
      </c>
      <c r="F15" s="36" t="str">
        <f>IF(F13=0,"",IFERROR("Nacimiento: "&amp;VLOOKUP(F13,Datos,COLUMN(Datos!$K:$K),0)&amp;" - "&amp;VLOOKUP(F13,Datos,COLUMN(Datos!$G:$G),0),""))</f>
        <v>Nacimiento: Venezuela - 1922</v>
      </c>
      <c r="H15" s="16"/>
      <c r="I15" s="18" t="s">
        <v>76</v>
      </c>
      <c r="J15" s="17"/>
    </row>
    <row r="16" spans="1:10" ht="12" customHeight="1" thickBot="1" x14ac:dyDescent="0.25">
      <c r="D16" s="32" t="str">
        <f>IF(D15=0,"",IFERROR(VLOOKUP(D15,Datos,COLUMN(Datos!$E:$E),0)&amp;", "&amp;VLOOKUP(D15,Datos,COLUMN(Datos!$F:$F),0),""))</f>
        <v>Carlos Alberto, Bazó Gómez</v>
      </c>
      <c r="F16" s="37" t="str">
        <f>IF(F13=0,"",IFERROR("Defunción: "&amp;VLOOKUP(F13,Datos,COLUMN(Datos!$AD:$AD),0)&amp;" - "&amp;VLOOKUP(F13,Datos,COLUMN(Datos!$Z:$Z),0),""))</f>
        <v>Defunción: Venezuela - 2008</v>
      </c>
      <c r="H16" s="16"/>
      <c r="I16" s="28" t="str">
        <f>"Fecha: "&amp;IFERROR(IF(VLOOKUP($B$19,Datos,COLUMN(Datos!$S:$S),0)=0,"","Año: "&amp;VLOOKUP($B$19,Datos,COLUMN(Datos!$S:$S),0)&amp;". "),"")&amp;
IFERROR(IF(VLOOKUP($B$19,Datos,COLUMN(Datos!$T:$T),0)=0,"","Mes: "&amp;VLOOKUP($B$19,Datos,COLUMN(Datos!$T:$T),0)&amp;". "),"")&amp;
IFERROR(IF(VLOOKUP($B$19,Datos,COLUMN(Datos!$U:$U),0)=0,"","Día: "&amp;VLOOKUP($B$19,Datos,COLUMN(Datos!$U:$U),0)&amp;"."),"")</f>
        <v xml:space="preserve">Fecha: </v>
      </c>
      <c r="J16" s="17"/>
    </row>
    <row r="17" spans="2:10" ht="12" customHeight="1" thickBot="1" x14ac:dyDescent="0.25">
      <c r="D17" s="33" t="str">
        <f>IF(D15=0,"",IFERROR("Nacimiento: "&amp;VLOOKUP(D15,Datos,COLUMN(Datos!$K:$K),0)&amp;" - "&amp;VLOOKUP(D15,Datos,COLUMN(Datos!$G:$G),0),""))</f>
        <v>Nacimiento: Venezuela - 1947</v>
      </c>
      <c r="F17" s="45">
        <f>IF(IDAbuelaP=0,"",IDAbuelaP)</f>
        <v>5</v>
      </c>
      <c r="H17" s="16"/>
      <c r="I17" s="28" t="str">
        <f>"Lugar: "&amp;IFERROR(IF(VLOOKUP($B$19,Datos,COLUMN(Datos!$V:$V),0)=0,"",VLOOKUP($B$19,Datos,COLUMN(Datos!$V:$V),0)&amp;"."),"")</f>
        <v xml:space="preserve">Lugar: </v>
      </c>
      <c r="J17" s="17"/>
    </row>
    <row r="18" spans="2:10" ht="12" customHeight="1" thickBot="1" x14ac:dyDescent="0.25">
      <c r="D18" s="34" t="str">
        <f>IF(D15=0,"",IFERROR("Defunción: "&amp;VLOOKUP(D15,Datos,COLUMN(Datos!$AD:$AD),0)&amp;" - "&amp;VLOOKUP(D15,Datos,COLUMN(Datos!$Z:$Z),0),""))</f>
        <v>Defunción: Venezuela - 2011</v>
      </c>
      <c r="F18" s="35" t="str">
        <f>IF(F17=0,"",IFERROR(VLOOKUP(F17,Datos,COLUMN(Datos!$E:$E),0)&amp;", "&amp;VLOOKUP(F17,Datos,COLUMN(Datos!$F:$F),0),""))</f>
        <v>Elia María, Gómez López</v>
      </c>
      <c r="H18" s="16"/>
      <c r="I18" s="28" t="str">
        <f>"País: "&amp;IFERROR(IF(VLOOKUP($B$19,Datos,COLUMN(Datos!$W:$W),0)=0,"",VLOOKUP($B$19,Datos,COLUMN(Datos!$W:$W),0)&amp;"."),"")</f>
        <v xml:space="preserve">País: </v>
      </c>
      <c r="J18" s="17"/>
    </row>
    <row r="19" spans="2:10" ht="12" customHeight="1" thickBot="1" x14ac:dyDescent="0.25">
      <c r="B19" s="45">
        <f>IFERROR(IF(IDPrincipal=0,"",IDPrincipal),"")</f>
        <v>1</v>
      </c>
      <c r="C19" s="5" t="s">
        <v>35</v>
      </c>
      <c r="E19" s="8" t="s">
        <v>36</v>
      </c>
      <c r="F19" s="36" t="str">
        <f>IF(F17=0,"",IFERROR("Nacimiento: "&amp;VLOOKUP(F17,Datos,COLUMN(Datos!$K:$K),0)&amp;" - "&amp;VLOOKUP(F17,Datos,COLUMN(Datos!$G:$G),0),""))</f>
        <v>Nacimiento: Venezuela - 1919</v>
      </c>
      <c r="H19" s="16"/>
      <c r="I19" s="18" t="s">
        <v>77</v>
      </c>
      <c r="J19" s="17"/>
    </row>
    <row r="20" spans="2:10" ht="12" customHeight="1" thickBot="1" x14ac:dyDescent="0.25">
      <c r="B20" s="29" t="str">
        <f>IF(B19=0,"",IFERROR(VLOOKUP(B19,Datos,COLUMN(Datos!$E:$E),0)&amp;", "&amp;VLOOKUP(B19,Datos,COLUMN(Datos!$F:$F),0),""))</f>
        <v>Pedro José, Bazó Canelón</v>
      </c>
      <c r="F20" s="37" t="str">
        <f>IF(F17=0,"",IFERROR("Defunción: "&amp;VLOOKUP(F17,Datos,COLUMN(Datos!$AD:$AD),0)&amp;" - "&amp;VLOOKUP(F17,Datos,COLUMN(Datos!$Z:$Z),0),""))</f>
        <v>Defunción: Venezuela - 1989</v>
      </c>
      <c r="H20" s="16"/>
      <c r="I20" s="28" t="str">
        <f>"Fecha: "&amp;IFERROR(IF(VLOOKUP($B$19,Datos,COLUMN(Datos!$Z:$Z),0)=0,"","Año: "&amp;VLOOKUP($B$19,Datos,COLUMN(Datos!$Z:$Z),0)&amp;". "),"")&amp;
IFERROR(IF(VLOOKUP($B$19,Datos,COLUMN(Datos!$AA:$AA),0)=0,"","Mes: "&amp;VLOOKUP($B$19,Datos,COLUMN(Datos!$AA:$AA),0)&amp;". "),"")&amp;
IFERROR(IF(VLOOKUP($B$19,Datos,COLUMN(Datos!$AB:$AB),0)=0,"","Día: "&amp;VLOOKUP($B$19,Datos,COLUMN(Datos!$AB:$AB),0)&amp;"."),"")</f>
        <v xml:space="preserve">Fecha: </v>
      </c>
      <c r="J20" s="17"/>
    </row>
    <row r="21" spans="2:10" ht="12" customHeight="1" thickBot="1" x14ac:dyDescent="0.25">
      <c r="B21" s="30" t="str">
        <f>IF(B19=0,"",IFERROR("Nacimiento: "&amp;VLOOKUP(B19,Datos,COLUMN(Datos!$K:$K),0)&amp;" - "&amp;VLOOKUP(B19,Datos,COLUMN(Datos!$G:$G),0),""))</f>
        <v>Nacimiento: Venezuela - 1976</v>
      </c>
      <c r="F21" s="45">
        <f>IF(IDAbueloM=0,"",IDAbueloM)</f>
        <v>6</v>
      </c>
      <c r="H21" s="16"/>
      <c r="I21" s="28" t="str">
        <f>"Lugar: "&amp;IFERROR(IF(VLOOKUP($B$19,Datos,COLUMN(Datos!$AC:$AC),0)=0,"",VLOOKUP($B$19,Datos,COLUMN(Datos!$AC:$AC),0)&amp;"."),"")</f>
        <v xml:space="preserve">Lugar: </v>
      </c>
      <c r="J21" s="17"/>
    </row>
    <row r="22" spans="2:10" ht="12" customHeight="1" thickBot="1" x14ac:dyDescent="0.25">
      <c r="B22" s="31" t="str">
        <f>IF(B19=0,"",IFERROR("Defunción: "&amp;VLOOKUP(B19,Datos,COLUMN(Datos!$AD:$AD),0)&amp;" - "&amp;VLOOKUP(B19,Datos,COLUMN(Datos!$Z:$Z),0),""))</f>
        <v xml:space="preserve">Defunción:  - </v>
      </c>
      <c r="F22" s="35" t="str">
        <f>IF(F21=0,"",IFERROR(VLOOKUP(F21,Datos,COLUMN(Datos!$E:$E),0)&amp;", "&amp;VLOOKUP(F21,Datos,COLUMN(Datos!$F:$F),0),""))</f>
        <v>José María, Canelón Bustamante</v>
      </c>
      <c r="H22" s="16"/>
      <c r="I22" s="28" t="str">
        <f>"País: "&amp;IFERROR(IF(VLOOKUP($B$19,Datos,COLUMN(Datos!$AD:$AD),0)=0,"",VLOOKUP($B$19,Datos,COLUMN(Datos!$AD:$AD),0)&amp;"."),"")</f>
        <v xml:space="preserve">País: </v>
      </c>
      <c r="J22" s="17"/>
    </row>
    <row r="23" spans="2:10" ht="12" customHeight="1" thickBot="1" x14ac:dyDescent="0.25">
      <c r="B23" s="27" t="str">
        <f>IF(B19=0,"",IFERROR("Generación: "&amp;VLOOKUP(B19,Datos,COLUMN(Datos!$D:$D),0),""))</f>
        <v>Generación: 1</v>
      </c>
      <c r="C23" s="6" t="s">
        <v>36</v>
      </c>
      <c r="D23" s="45">
        <f>IF(IDMadre=0,"",IDMadre)</f>
        <v>3</v>
      </c>
      <c r="E23" s="7" t="s">
        <v>35</v>
      </c>
      <c r="F23" s="36" t="str">
        <f>IF(F21=0,"",IFERROR("Nacimiento: "&amp;VLOOKUP(F21,Datos,COLUMN(Datos!$K:$K),0)&amp;" - "&amp;VLOOKUP(F21,Datos,COLUMN(Datos!$G:$G),0),""))</f>
        <v>Nacimiento: Venezuela - 1913</v>
      </c>
      <c r="H23" s="16"/>
      <c r="I23" s="18" t="s">
        <v>32</v>
      </c>
      <c r="J23" s="17"/>
    </row>
    <row r="24" spans="2:10" ht="12" customHeight="1" thickBot="1" x14ac:dyDescent="0.25">
      <c r="B24" s="9" t="s">
        <v>79</v>
      </c>
      <c r="D24" s="32" t="str">
        <f>IF(D23=0,"",IFERROR(VLOOKUP(D23,Datos,COLUMN(Datos!$E:$E),0)&amp;", "&amp;VLOOKUP(D23,Datos,COLUMN(Datos!$F:$F),0),""))</f>
        <v>Miriam Carolina, Canelón Hernández</v>
      </c>
      <c r="F24" s="37" t="str">
        <f>IF(F21=0,"",IFERROR("Defunción: "&amp;VLOOKUP(F21,Datos,COLUMN(Datos!$AD:$AD),0)&amp;" - "&amp;VLOOKUP(F21,Datos,COLUMN(Datos!$Z:$Z),0),""))</f>
        <v xml:space="preserve">Defunción:  - </v>
      </c>
      <c r="H24" s="16"/>
      <c r="I24" s="48" t="str">
        <f>IFERROR(IF(VLOOKUP($B$19,Datos,COLUMN(Datos!$AG:$AG),0)=0,"",VLOOKUP($B$19,Datos,COLUMN(Datos!$AG:$AG),0)),"")</f>
        <v/>
      </c>
      <c r="J24" s="17"/>
    </row>
    <row r="25" spans="2:10" ht="12" customHeight="1" thickBot="1" x14ac:dyDescent="0.25">
      <c r="B25" s="10"/>
      <c r="D25" s="33" t="str">
        <f>IF(D23=0,"",IFERROR("Nacimiento: "&amp;VLOOKUP(D23,Datos,COLUMN(Datos!$K:$K),0)&amp;" - "&amp;VLOOKUP(D23,Datos,COLUMN(Datos!$G:$G),0),""))</f>
        <v>Nacimiento: Venezuela - 1950</v>
      </c>
      <c r="F25" s="45">
        <f>IF(IDAbuelaM=0,"",IDAbuelaM)</f>
        <v>7</v>
      </c>
      <c r="H25" s="16"/>
      <c r="I25" s="48"/>
      <c r="J25" s="17"/>
    </row>
    <row r="26" spans="2:10" ht="12" customHeight="1" thickBot="1" x14ac:dyDescent="0.25">
      <c r="B26" s="10"/>
      <c r="D26" s="34" t="str">
        <f>IF(D23=0,"",IFERROR("Defunción: "&amp;VLOOKUP(D23,Datos,COLUMN(Datos!$AD:$AD),0)&amp;" - "&amp;VLOOKUP(D23,Datos,COLUMN(Datos!$Z:$Z),0),""))</f>
        <v xml:space="preserve">Defunción:  - </v>
      </c>
      <c r="F26" s="35" t="str">
        <f>IF(F25=0,"",IFERROR(VLOOKUP(F25,Datos,COLUMN(Datos!$E:$E),0)&amp;", "&amp;VLOOKUP(F25,Datos,COLUMN(Datos!$F:$F),0),""))</f>
        <v>Luisa Margarita, Hernández Núñez</v>
      </c>
      <c r="H26" s="16"/>
      <c r="I26" s="48"/>
      <c r="J26" s="17"/>
    </row>
    <row r="27" spans="2:10" ht="12" customHeight="1" x14ac:dyDescent="0.2">
      <c r="E27" s="8" t="s">
        <v>36</v>
      </c>
      <c r="F27" s="36" t="str">
        <f>IF(F25=0,"",IFERROR("Nacimiento: "&amp;VLOOKUP(F25,Datos,COLUMN(Datos!$K:$K),0)&amp;" - "&amp;VLOOKUP(F25,Datos,COLUMN(Datos!$G:$G),0),""))</f>
        <v>Nacimiento: Venezuela - 1922</v>
      </c>
      <c r="H27" s="16"/>
      <c r="I27" s="48"/>
      <c r="J27" s="17"/>
    </row>
    <row r="28" spans="2:10" ht="12" customHeight="1" thickBot="1" x14ac:dyDescent="0.25">
      <c r="F28" s="37" t="str">
        <f>IF(F25=0,"",IFERROR("Defunción: "&amp;VLOOKUP(F25,Datos,COLUMN(Datos!$AD:$AD),0)&amp;" - "&amp;VLOOKUP(F25,Datos,COLUMN(Datos!$Z:$Z),0),""))</f>
        <v>Defunción: Venezuela - 2008</v>
      </c>
      <c r="H28" s="16"/>
      <c r="I28" s="48"/>
      <c r="J28" s="17"/>
    </row>
    <row r="29" spans="2:10" ht="12" customHeight="1" x14ac:dyDescent="0.2">
      <c r="H29" s="16"/>
      <c r="I29" s="48"/>
      <c r="J29" s="17"/>
    </row>
    <row r="30" spans="2:10" ht="12" customHeight="1" x14ac:dyDescent="0.2">
      <c r="D30" s="9" t="s">
        <v>80</v>
      </c>
      <c r="H30" s="16"/>
      <c r="I30" s="48"/>
      <c r="J30" s="17"/>
    </row>
    <row r="31" spans="2:10" ht="12" customHeight="1" x14ac:dyDescent="0.2">
      <c r="D31" s="10"/>
      <c r="H31" s="16"/>
      <c r="I31" s="48"/>
      <c r="J31" s="17"/>
    </row>
    <row r="32" spans="2:10" ht="12" customHeight="1" x14ac:dyDescent="0.2">
      <c r="D32" s="10"/>
      <c r="H32" s="16"/>
      <c r="I32" s="48"/>
      <c r="J32" s="17"/>
    </row>
    <row r="33" spans="8:10" ht="12" customHeight="1" x14ac:dyDescent="0.2">
      <c r="H33" s="16"/>
      <c r="I33" s="48"/>
      <c r="J33" s="17"/>
    </row>
    <row r="34" spans="8:10" ht="12" customHeight="1" x14ac:dyDescent="0.2">
      <c r="H34" s="16"/>
      <c r="I34" s="48"/>
      <c r="J34" s="17"/>
    </row>
    <row r="35" spans="8:10" ht="12" customHeight="1" x14ac:dyDescent="0.2">
      <c r="H35" s="16"/>
      <c r="I35" s="48"/>
      <c r="J35" s="17"/>
    </row>
    <row r="36" spans="8:10" ht="12" customHeight="1" thickBot="1" x14ac:dyDescent="0.25">
      <c r="H36" s="19"/>
      <c r="I36" s="20"/>
      <c r="J36" s="21"/>
    </row>
  </sheetData>
  <sheetProtection sheet="1" objects="1" scenarios="1"/>
  <mergeCells count="3">
    <mergeCell ref="I24:I35"/>
    <mergeCell ref="B2:J2"/>
    <mergeCell ref="B1:J1"/>
  </mergeCells>
  <pageMargins left="0.7" right="0.7" top="0.75" bottom="0.75" header="0.3" footer="0.3"/>
  <pageSetup orientation="portrait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List Box 2">
              <controlPr defaultSize="0" autoLine="0" autoPict="0" macro="[0]!CambioCuadroListaAsc">
                <anchor>
                  <from>
                    <xdr:col>0</xdr:col>
                    <xdr:colOff>457200</xdr:colOff>
                    <xdr:row>3</xdr:row>
                    <xdr:rowOff>137160</xdr:rowOff>
                  </from>
                  <to>
                    <xdr:col>1</xdr:col>
                    <xdr:colOff>2019300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taurarACliente">
                <anchor moveWithCells="1" sizeWithCells="1">
                  <from>
                    <xdr:col>1</xdr:col>
                    <xdr:colOff>594360</xdr:colOff>
                    <xdr:row>16</xdr:row>
                    <xdr:rowOff>76200</xdr:rowOff>
                  </from>
                  <to>
                    <xdr:col>1</xdr:col>
                    <xdr:colOff>1455420</xdr:colOff>
                    <xdr:row>17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st Box 4">
              <controlPr defaultSize="0" autoLine="0" autoPict="0" macro="[0]!CambioCuadroListaDes">
                <anchor>
                  <from>
                    <xdr:col>0</xdr:col>
                    <xdr:colOff>457200</xdr:colOff>
                    <xdr:row>23</xdr:row>
                    <xdr:rowOff>137160</xdr:rowOff>
                  </from>
                  <to>
                    <xdr:col>1</xdr:col>
                    <xdr:colOff>2019300</xdr:colOff>
                    <xdr:row>36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IDPadre_IDPrincipal">
                <anchor moveWithCells="1" sizeWithCells="1">
                  <from>
                    <xdr:col>3</xdr:col>
                    <xdr:colOff>883920</xdr:colOff>
                    <xdr:row>12</xdr:row>
                    <xdr:rowOff>144780</xdr:rowOff>
                  </from>
                  <to>
                    <xdr:col>3</xdr:col>
                    <xdr:colOff>1188720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DMadre_IDPrincipal">
                <anchor moveWithCells="1" sizeWithCells="1">
                  <from>
                    <xdr:col>3</xdr:col>
                    <xdr:colOff>899160</xdr:colOff>
                    <xdr:row>26</xdr:row>
                    <xdr:rowOff>68580</xdr:rowOff>
                  </from>
                  <to>
                    <xdr:col>3</xdr:col>
                    <xdr:colOff>1203960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List Box 8">
              <controlPr defaultSize="0" autoLine="0" autoPict="0">
                <anchor>
                  <from>
                    <xdr:col>2</xdr:col>
                    <xdr:colOff>426720</xdr:colOff>
                    <xdr:row>29</xdr:row>
                    <xdr:rowOff>137160</xdr:rowOff>
                  </from>
                  <to>
                    <xdr:col>3</xdr:col>
                    <xdr:colOff>2019300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AgregarHijo">
                <anchor moveWithCells="1" sizeWithCells="1">
                  <from>
                    <xdr:col>1</xdr:col>
                    <xdr:colOff>541020</xdr:colOff>
                    <xdr:row>37</xdr:row>
                    <xdr:rowOff>0</xdr:rowOff>
                  </from>
                  <to>
                    <xdr:col>1</xdr:col>
                    <xdr:colOff>1409700</xdr:colOff>
                    <xdr:row>38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AgregarPersona">
                <anchor moveWithCells="1" sizeWithCells="1">
                  <from>
                    <xdr:col>3</xdr:col>
                    <xdr:colOff>533400</xdr:colOff>
                    <xdr:row>36</xdr:row>
                    <xdr:rowOff>144780</xdr:rowOff>
                  </from>
                  <to>
                    <xdr:col>3</xdr:col>
                    <xdr:colOff>1402080</xdr:colOff>
                    <xdr:row>38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Edicion">
                <anchor moveWithCells="1" sizeWithCells="1">
                  <from>
                    <xdr:col>8</xdr:col>
                    <xdr:colOff>937260</xdr:colOff>
                    <xdr:row>37</xdr:row>
                    <xdr:rowOff>0</xdr:rowOff>
                  </from>
                  <to>
                    <xdr:col>8</xdr:col>
                    <xdr:colOff>1798320</xdr:colOff>
                    <xdr:row>38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IDAbueloP_IDPrincipal">
                <anchor moveWithCells="1" sizeWithCells="1">
                  <from>
                    <xdr:col>6</xdr:col>
                    <xdr:colOff>68580</xdr:colOff>
                    <xdr:row>13</xdr:row>
                    <xdr:rowOff>106680</xdr:rowOff>
                  </from>
                  <to>
                    <xdr:col>6</xdr:col>
                    <xdr:colOff>373380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IDAbuelaP_IDPrincipal">
                <anchor moveWithCells="1" sizeWithCells="1">
                  <from>
                    <xdr:col>6</xdr:col>
                    <xdr:colOff>76200</xdr:colOff>
                    <xdr:row>17</xdr:row>
                    <xdr:rowOff>106680</xdr:rowOff>
                  </from>
                  <to>
                    <xdr:col>6</xdr:col>
                    <xdr:colOff>381000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utton 17">
              <controlPr defaultSize="0" print="0" autoFill="0" autoPict="0" macro="[0]!IDAbueloM_IDPrincipal">
                <anchor moveWithCells="1" sizeWithCells="1">
                  <from>
                    <xdr:col>6</xdr:col>
                    <xdr:colOff>76200</xdr:colOff>
                    <xdr:row>21</xdr:row>
                    <xdr:rowOff>114300</xdr:rowOff>
                  </from>
                  <to>
                    <xdr:col>6</xdr:col>
                    <xdr:colOff>381000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[0]!IDAbuelaM_IDPrincipal">
                <anchor moveWithCells="1" sizeWithCells="1">
                  <from>
                    <xdr:col>6</xdr:col>
                    <xdr:colOff>83820</xdr:colOff>
                    <xdr:row>25</xdr:row>
                    <xdr:rowOff>114300</xdr:rowOff>
                  </from>
                  <to>
                    <xdr:col>6</xdr:col>
                    <xdr:colOff>388620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2" tint="-0.249977111117893"/>
  </sheetPr>
  <dimension ref="A1:AI54"/>
  <sheetViews>
    <sheetView workbookViewId="0">
      <pane xSplit="6" ySplit="1" topLeftCell="X2" activePane="bottomRight" state="frozen"/>
      <selection pane="topRight" activeCell="G1" sqref="G1"/>
      <selection pane="bottomLeft" activeCell="A2" sqref="A2"/>
      <selection pane="bottomRight" activeCell="E17" sqref="E17"/>
    </sheetView>
  </sheetViews>
  <sheetFormatPr baseColWidth="10" defaultColWidth="9.109375" defaultRowHeight="11.25" customHeight="1" x14ac:dyDescent="0.2"/>
  <cols>
    <col min="1" max="1" width="4.5546875" style="2" customWidth="1"/>
    <col min="2" max="2" width="8.44140625" style="2" customWidth="1"/>
    <col min="3" max="3" width="9" style="2" customWidth="1"/>
    <col min="4" max="4" width="10.88671875" style="2" customWidth="1"/>
    <col min="5" max="5" width="19.33203125" style="2" bestFit="1" customWidth="1"/>
    <col min="6" max="6" width="18.33203125" style="2" bestFit="1" customWidth="1"/>
    <col min="7" max="7" width="9.33203125" style="24" bestFit="1" customWidth="1"/>
    <col min="8" max="8" width="8.5546875" style="24" bestFit="1" customWidth="1"/>
    <col min="9" max="9" width="7.88671875" style="24" bestFit="1" customWidth="1"/>
    <col min="10" max="10" width="26" style="2" bestFit="1" customWidth="1"/>
    <col min="11" max="11" width="8.33203125" style="2" bestFit="1" customWidth="1"/>
    <col min="12" max="12" width="14.33203125" style="2" bestFit="1" customWidth="1"/>
    <col min="13" max="13" width="9.5546875" style="24" bestFit="1" customWidth="1"/>
    <col min="14" max="15" width="9.5546875" style="24" customWidth="1"/>
    <col min="16" max="16" width="15.109375" style="2" bestFit="1" customWidth="1"/>
    <col min="17" max="17" width="8.6640625" style="2" bestFit="1" customWidth="1"/>
    <col min="18" max="18" width="14" style="2" customWidth="1"/>
    <col min="19" max="19" width="10.109375" style="24" bestFit="1" customWidth="1"/>
    <col min="20" max="20" width="9.44140625" style="24" bestFit="1" customWidth="1"/>
    <col min="21" max="21" width="8.6640625" style="24" bestFit="1" customWidth="1"/>
    <col min="22" max="22" width="18" style="2" bestFit="1" customWidth="1"/>
    <col min="23" max="23" width="9.109375" style="2" bestFit="1" customWidth="1"/>
    <col min="24" max="24" width="15.109375" style="2" bestFit="1" customWidth="1"/>
    <col min="25" max="25" width="6.33203125" style="2" bestFit="1" customWidth="1"/>
    <col min="26" max="26" width="9.109375" style="24" bestFit="1" customWidth="1"/>
    <col min="27" max="27" width="8.44140625" style="24" bestFit="1" customWidth="1"/>
    <col min="28" max="28" width="7.6640625" style="24" bestFit="1" customWidth="1"/>
    <col min="29" max="29" width="18" style="2" bestFit="1" customWidth="1"/>
    <col min="30" max="30" width="8.109375" style="2" bestFit="1" customWidth="1"/>
    <col min="31" max="32" width="8.109375" style="2" customWidth="1"/>
    <col min="33" max="33" width="12.5546875" style="2" customWidth="1"/>
    <col min="34" max="34" width="31.109375" style="2" bestFit="1" customWidth="1"/>
    <col min="35" max="35" width="21.33203125" style="26" bestFit="1" customWidth="1"/>
    <col min="36" max="16384" width="9.109375" style="2"/>
  </cols>
  <sheetData>
    <row r="1" spans="1:35" s="23" customFormat="1" ht="11.25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1" t="s">
        <v>6</v>
      </c>
      <c r="H1" s="41" t="s">
        <v>7</v>
      </c>
      <c r="I1" s="41" t="s">
        <v>8</v>
      </c>
      <c r="J1" s="40" t="s">
        <v>9</v>
      </c>
      <c r="K1" s="40" t="s">
        <v>10</v>
      </c>
      <c r="L1" s="41" t="s">
        <v>11</v>
      </c>
      <c r="M1" s="40" t="s">
        <v>12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  <c r="S1" s="41" t="s">
        <v>18</v>
      </c>
      <c r="T1" s="41" t="s">
        <v>19</v>
      </c>
      <c r="U1" s="41" t="s">
        <v>20</v>
      </c>
      <c r="V1" s="40" t="s">
        <v>21</v>
      </c>
      <c r="W1" s="40" t="s">
        <v>22</v>
      </c>
      <c r="X1" s="40" t="s">
        <v>23</v>
      </c>
      <c r="Y1" s="40" t="s">
        <v>24</v>
      </c>
      <c r="Z1" s="41" t="s">
        <v>25</v>
      </c>
      <c r="AA1" s="41" t="s">
        <v>26</v>
      </c>
      <c r="AB1" s="41" t="s">
        <v>27</v>
      </c>
      <c r="AC1" s="40" t="s">
        <v>28</v>
      </c>
      <c r="AD1" s="40" t="s">
        <v>29</v>
      </c>
      <c r="AE1" s="40" t="s">
        <v>30</v>
      </c>
      <c r="AF1" s="40" t="s">
        <v>31</v>
      </c>
      <c r="AG1" s="40" t="s">
        <v>32</v>
      </c>
      <c r="AH1" s="42" t="s">
        <v>33</v>
      </c>
    </row>
    <row r="2" spans="1:35" ht="11.25" customHeight="1" x14ac:dyDescent="0.2">
      <c r="A2" s="2">
        <v>1</v>
      </c>
      <c r="B2" s="2">
        <v>2</v>
      </c>
      <c r="C2" s="2">
        <v>3</v>
      </c>
      <c r="D2" s="2">
        <v>1</v>
      </c>
      <c r="E2" s="2" t="s">
        <v>171</v>
      </c>
      <c r="F2" s="2" t="s">
        <v>175</v>
      </c>
      <c r="G2" s="24">
        <v>1976</v>
      </c>
      <c r="H2" s="24">
        <v>12</v>
      </c>
      <c r="I2" s="24">
        <v>6</v>
      </c>
      <c r="J2" s="2" t="s">
        <v>105</v>
      </c>
      <c r="K2" s="2" t="s">
        <v>106</v>
      </c>
      <c r="L2" s="24" t="s">
        <v>94</v>
      </c>
      <c r="M2" s="2"/>
      <c r="N2" s="2"/>
      <c r="R2" s="24"/>
      <c r="X2" s="24"/>
      <c r="Y2" s="24"/>
      <c r="AE2" s="24"/>
      <c r="AF2" s="24" t="s">
        <v>81</v>
      </c>
      <c r="AH2" s="25" t="str">
        <f t="shared" ref="AH2" si="0">IF(E2&amp;", "&amp;F2=", ","",E2&amp;", "&amp;F2)</f>
        <v>Pedro José, Bazó Canelón</v>
      </c>
      <c r="AI2" s="2"/>
    </row>
    <row r="3" spans="1:35" ht="11.25" customHeight="1" x14ac:dyDescent="0.2">
      <c r="A3" s="2">
        <v>2</v>
      </c>
      <c r="B3" s="2">
        <v>4</v>
      </c>
      <c r="C3" s="2">
        <v>5</v>
      </c>
      <c r="D3" s="2">
        <v>2</v>
      </c>
      <c r="E3" s="2" t="s">
        <v>179</v>
      </c>
      <c r="F3" s="2" t="s">
        <v>172</v>
      </c>
      <c r="G3" s="24">
        <v>1947</v>
      </c>
      <c r="H3" s="24">
        <v>1</v>
      </c>
      <c r="I3" s="24">
        <v>25</v>
      </c>
      <c r="J3" s="2" t="s">
        <v>111</v>
      </c>
      <c r="K3" s="2" t="s">
        <v>106</v>
      </c>
      <c r="L3" s="24" t="s">
        <v>94</v>
      </c>
      <c r="M3" s="2"/>
      <c r="N3" s="2"/>
      <c r="R3" s="24"/>
      <c r="X3" s="24"/>
      <c r="Y3" s="24" t="s">
        <v>95</v>
      </c>
      <c r="Z3" s="24">
        <v>2011</v>
      </c>
      <c r="AA3" s="24">
        <v>11</v>
      </c>
      <c r="AB3" s="24">
        <v>20</v>
      </c>
      <c r="AC3" s="2" t="s">
        <v>105</v>
      </c>
      <c r="AD3" s="2" t="s">
        <v>106</v>
      </c>
      <c r="AE3" s="24" t="s">
        <v>94</v>
      </c>
      <c r="AF3" s="24" t="s">
        <v>81</v>
      </c>
      <c r="AH3" s="25" t="str">
        <f t="shared" ref="AH3:AH17" si="1">IF(E3&amp;", "&amp;F3=", ","",E3&amp;", "&amp;F3)</f>
        <v>Carlos Alberto, Bazó Gómez</v>
      </c>
    </row>
    <row r="4" spans="1:35" ht="11.25" customHeight="1" x14ac:dyDescent="0.2">
      <c r="A4" s="2">
        <v>3</v>
      </c>
      <c r="B4" s="2">
        <v>6</v>
      </c>
      <c r="C4" s="2">
        <v>7</v>
      </c>
      <c r="D4" s="2">
        <v>2</v>
      </c>
      <c r="E4" s="2" t="s">
        <v>182</v>
      </c>
      <c r="F4" s="2" t="s">
        <v>176</v>
      </c>
      <c r="G4" s="24">
        <v>1950</v>
      </c>
      <c r="H4" s="24">
        <v>2</v>
      </c>
      <c r="I4" s="24">
        <v>17</v>
      </c>
      <c r="J4" s="2" t="s">
        <v>105</v>
      </c>
      <c r="K4" s="2" t="s">
        <v>106</v>
      </c>
      <c r="L4" s="24" t="s">
        <v>94</v>
      </c>
      <c r="M4" s="2"/>
      <c r="N4" s="2"/>
      <c r="R4" s="24"/>
      <c r="X4" s="24"/>
      <c r="Y4" s="24"/>
      <c r="AE4" s="24"/>
      <c r="AF4" s="24" t="s">
        <v>82</v>
      </c>
      <c r="AH4" s="25" t="str">
        <f t="shared" si="1"/>
        <v>Miriam Carolina, Canelón Hernández</v>
      </c>
    </row>
    <row r="5" spans="1:35" ht="11.25" customHeight="1" x14ac:dyDescent="0.2">
      <c r="A5" s="2">
        <v>4</v>
      </c>
      <c r="B5" s="2">
        <v>8</v>
      </c>
      <c r="C5" s="2">
        <v>9</v>
      </c>
      <c r="D5" s="2">
        <v>3</v>
      </c>
      <c r="E5" s="2" t="s">
        <v>180</v>
      </c>
      <c r="F5" s="2" t="s">
        <v>173</v>
      </c>
      <c r="G5" s="24">
        <v>1922</v>
      </c>
      <c r="J5" s="2" t="s">
        <v>113</v>
      </c>
      <c r="K5" s="2" t="s">
        <v>106</v>
      </c>
      <c r="L5" s="24"/>
      <c r="M5" s="2"/>
      <c r="N5" s="2"/>
      <c r="R5" s="24"/>
      <c r="S5" s="24">
        <v>1945</v>
      </c>
      <c r="T5" s="24">
        <v>2</v>
      </c>
      <c r="U5" s="24">
        <v>24</v>
      </c>
      <c r="V5" s="2" t="s">
        <v>105</v>
      </c>
      <c r="W5" s="2" t="s">
        <v>106</v>
      </c>
      <c r="X5" s="24" t="s">
        <v>94</v>
      </c>
      <c r="Y5" s="24" t="s">
        <v>95</v>
      </c>
      <c r="Z5" s="24">
        <v>2008</v>
      </c>
      <c r="AA5" s="24">
        <v>7</v>
      </c>
      <c r="AB5" s="24">
        <v>29</v>
      </c>
      <c r="AC5" s="2" t="s">
        <v>105</v>
      </c>
      <c r="AD5" s="2" t="s">
        <v>106</v>
      </c>
      <c r="AE5" s="24" t="s">
        <v>94</v>
      </c>
      <c r="AF5" s="24" t="s">
        <v>81</v>
      </c>
      <c r="AH5" s="25" t="str">
        <f t="shared" si="1"/>
        <v>Alejandro Enrique, Bazó Centeno</v>
      </c>
    </row>
    <row r="6" spans="1:35" ht="11.25" customHeight="1" x14ac:dyDescent="0.2">
      <c r="A6" s="2">
        <v>5</v>
      </c>
      <c r="B6" s="2">
        <v>10</v>
      </c>
      <c r="C6" s="2">
        <v>11</v>
      </c>
      <c r="D6" s="2">
        <v>3</v>
      </c>
      <c r="E6" s="2" t="s">
        <v>181</v>
      </c>
      <c r="F6" s="2" t="s">
        <v>114</v>
      </c>
      <c r="G6" s="24">
        <v>1919</v>
      </c>
      <c r="J6" s="2" t="s">
        <v>115</v>
      </c>
      <c r="K6" s="2" t="s">
        <v>106</v>
      </c>
      <c r="L6" s="24"/>
      <c r="M6" s="2"/>
      <c r="N6" s="2"/>
      <c r="R6" s="24"/>
      <c r="S6" s="24">
        <v>1945</v>
      </c>
      <c r="T6" s="24">
        <v>2</v>
      </c>
      <c r="U6" s="24">
        <v>24</v>
      </c>
      <c r="V6" s="2" t="s">
        <v>105</v>
      </c>
      <c r="W6" s="2" t="s">
        <v>106</v>
      </c>
      <c r="X6" s="24" t="s">
        <v>94</v>
      </c>
      <c r="Y6" s="24" t="s">
        <v>95</v>
      </c>
      <c r="Z6" s="24">
        <v>1989</v>
      </c>
      <c r="AA6" s="24">
        <v>11</v>
      </c>
      <c r="AB6" s="24">
        <v>23</v>
      </c>
      <c r="AC6" s="2" t="s">
        <v>105</v>
      </c>
      <c r="AD6" s="2" t="s">
        <v>106</v>
      </c>
      <c r="AE6" s="24" t="s">
        <v>94</v>
      </c>
      <c r="AF6" s="24" t="s">
        <v>82</v>
      </c>
      <c r="AH6" s="25" t="str">
        <f t="shared" si="1"/>
        <v>Elia María, Gómez López</v>
      </c>
    </row>
    <row r="7" spans="1:35" ht="11.25" customHeight="1" x14ac:dyDescent="0.2">
      <c r="A7" s="2">
        <v>6</v>
      </c>
      <c r="B7" s="2">
        <v>12</v>
      </c>
      <c r="C7" s="2">
        <v>13</v>
      </c>
      <c r="D7" s="2">
        <v>3</v>
      </c>
      <c r="E7" s="2" t="s">
        <v>116</v>
      </c>
      <c r="F7" s="2" t="s">
        <v>183</v>
      </c>
      <c r="G7" s="24">
        <v>1913</v>
      </c>
      <c r="H7" s="24">
        <v>5</v>
      </c>
      <c r="I7" s="24">
        <v>31</v>
      </c>
      <c r="J7" s="2" t="s">
        <v>117</v>
      </c>
      <c r="K7" s="2" t="s">
        <v>106</v>
      </c>
      <c r="L7" s="24" t="s">
        <v>94</v>
      </c>
      <c r="M7" s="2"/>
      <c r="N7" s="2"/>
      <c r="R7" s="24"/>
      <c r="X7" s="24"/>
      <c r="Y7" s="24"/>
      <c r="AE7" s="24"/>
      <c r="AF7" s="24" t="s">
        <v>81</v>
      </c>
      <c r="AH7" s="25" t="str">
        <f t="shared" si="1"/>
        <v>José María, Canelón Bustamante</v>
      </c>
    </row>
    <row r="8" spans="1:35" ht="11.25" customHeight="1" x14ac:dyDescent="0.2">
      <c r="A8" s="2">
        <v>7</v>
      </c>
      <c r="B8" s="2">
        <v>14</v>
      </c>
      <c r="C8" s="2">
        <v>15</v>
      </c>
      <c r="D8" s="2">
        <v>3</v>
      </c>
      <c r="E8" s="2" t="s">
        <v>118</v>
      </c>
      <c r="F8" s="2" t="s">
        <v>119</v>
      </c>
      <c r="G8" s="24">
        <v>1922</v>
      </c>
      <c r="H8" s="24">
        <v>11</v>
      </c>
      <c r="I8" s="24">
        <v>20</v>
      </c>
      <c r="J8" s="2" t="s">
        <v>120</v>
      </c>
      <c r="K8" s="2" t="s">
        <v>106</v>
      </c>
      <c r="L8" s="24" t="s">
        <v>94</v>
      </c>
      <c r="M8" s="2"/>
      <c r="N8" s="2"/>
      <c r="R8" s="24"/>
      <c r="X8" s="24"/>
      <c r="Y8" s="24" t="s">
        <v>95</v>
      </c>
      <c r="Z8" s="24">
        <v>2008</v>
      </c>
      <c r="AA8" s="24">
        <v>8</v>
      </c>
      <c r="AB8" s="24">
        <v>21</v>
      </c>
      <c r="AC8" s="2" t="s">
        <v>105</v>
      </c>
      <c r="AD8" s="2" t="s">
        <v>106</v>
      </c>
      <c r="AE8" s="24" t="s">
        <v>94</v>
      </c>
      <c r="AF8" s="24" t="s">
        <v>82</v>
      </c>
      <c r="AG8" s="2" t="s">
        <v>121</v>
      </c>
      <c r="AH8" s="25" t="str">
        <f t="shared" si="1"/>
        <v>Luisa Margarita, Hernández Núñez</v>
      </c>
    </row>
    <row r="9" spans="1:35" ht="11.25" customHeight="1" x14ac:dyDescent="0.2">
      <c r="A9" s="2">
        <v>8</v>
      </c>
      <c r="D9" s="2">
        <v>4</v>
      </c>
      <c r="E9" s="2" t="s">
        <v>112</v>
      </c>
      <c r="F9" s="2" t="s">
        <v>174</v>
      </c>
      <c r="G9" s="24">
        <v>1895</v>
      </c>
      <c r="J9" s="2" t="s">
        <v>113</v>
      </c>
      <c r="K9" s="2" t="s">
        <v>106</v>
      </c>
      <c r="L9" s="24"/>
      <c r="M9" s="2"/>
      <c r="N9" s="2"/>
      <c r="R9" s="24"/>
      <c r="X9" s="24"/>
      <c r="Y9" s="24"/>
      <c r="AE9" s="24"/>
      <c r="AF9" s="24" t="s">
        <v>81</v>
      </c>
      <c r="AH9" s="25" t="str">
        <f t="shared" si="1"/>
        <v>Alejandro, Bazó Barolleta</v>
      </c>
    </row>
    <row r="10" spans="1:35" ht="11.25" customHeight="1" x14ac:dyDescent="0.2">
      <c r="A10" s="2">
        <v>9</v>
      </c>
      <c r="D10" s="2">
        <v>4</v>
      </c>
      <c r="E10" s="2" t="s">
        <v>122</v>
      </c>
      <c r="F10" s="2" t="s">
        <v>187</v>
      </c>
      <c r="G10" s="24">
        <v>1897</v>
      </c>
      <c r="J10" s="2" t="s">
        <v>113</v>
      </c>
      <c r="K10" s="2" t="s">
        <v>106</v>
      </c>
      <c r="L10" s="24"/>
      <c r="M10" s="2"/>
      <c r="N10" s="2"/>
      <c r="R10" s="24"/>
      <c r="X10" s="24"/>
      <c r="Y10" s="24"/>
      <c r="AE10" s="24"/>
      <c r="AF10" s="24" t="s">
        <v>82</v>
      </c>
      <c r="AH10" s="25" t="str">
        <f t="shared" si="1"/>
        <v>Clara Elena, Centeno Gil</v>
      </c>
    </row>
    <row r="11" spans="1:35" ht="11.25" customHeight="1" x14ac:dyDescent="0.2">
      <c r="A11" s="2">
        <v>10</v>
      </c>
      <c r="B11" s="2">
        <v>24</v>
      </c>
      <c r="C11" s="2">
        <v>25</v>
      </c>
      <c r="D11" s="2">
        <v>4</v>
      </c>
      <c r="E11" s="2" t="s">
        <v>123</v>
      </c>
      <c r="F11" s="2" t="s">
        <v>188</v>
      </c>
      <c r="G11" s="24">
        <v>1862</v>
      </c>
      <c r="J11" s="2" t="s">
        <v>115</v>
      </c>
      <c r="K11" s="2" t="s">
        <v>106</v>
      </c>
      <c r="L11" s="24"/>
      <c r="M11" s="2"/>
      <c r="N11" s="2"/>
      <c r="R11" s="24"/>
      <c r="X11" s="24"/>
      <c r="Y11" s="24" t="s">
        <v>95</v>
      </c>
      <c r="Z11" s="24">
        <v>1960</v>
      </c>
      <c r="AA11" s="24">
        <v>12</v>
      </c>
      <c r="AB11" s="24">
        <v>6</v>
      </c>
      <c r="AC11" s="2" t="s">
        <v>105</v>
      </c>
      <c r="AD11" s="2" t="s">
        <v>106</v>
      </c>
      <c r="AE11" s="24" t="s">
        <v>94</v>
      </c>
      <c r="AF11" s="24" t="s">
        <v>81</v>
      </c>
      <c r="AH11" s="25" t="str">
        <f t="shared" si="1"/>
        <v>Romualdo, Gómez Iragorri</v>
      </c>
    </row>
    <row r="12" spans="1:35" ht="11.25" customHeight="1" x14ac:dyDescent="0.2">
      <c r="A12" s="2">
        <v>11</v>
      </c>
      <c r="D12" s="2">
        <v>4</v>
      </c>
      <c r="E12" s="2" t="s">
        <v>125</v>
      </c>
      <c r="F12" s="2" t="s">
        <v>126</v>
      </c>
      <c r="G12" s="24">
        <v>1883</v>
      </c>
      <c r="J12" s="2" t="s">
        <v>115</v>
      </c>
      <c r="K12" s="2" t="s">
        <v>106</v>
      </c>
      <c r="L12" s="24"/>
      <c r="M12" s="2"/>
      <c r="N12" s="2"/>
      <c r="R12" s="24"/>
      <c r="X12" s="24"/>
      <c r="Y12" s="24"/>
      <c r="AE12" s="24"/>
      <c r="AF12" s="24" t="s">
        <v>82</v>
      </c>
      <c r="AH12" s="25" t="str">
        <f t="shared" si="1"/>
        <v>Leonarda, López Méndez</v>
      </c>
    </row>
    <row r="13" spans="1:35" ht="11.25" customHeight="1" x14ac:dyDescent="0.2">
      <c r="A13" s="2">
        <v>12</v>
      </c>
      <c r="B13" s="2">
        <v>16</v>
      </c>
      <c r="C13" s="2">
        <v>17</v>
      </c>
      <c r="D13" s="2">
        <v>4</v>
      </c>
      <c r="E13" s="2" t="s">
        <v>116</v>
      </c>
      <c r="F13" s="2" t="s">
        <v>177</v>
      </c>
      <c r="G13" s="24">
        <v>1875</v>
      </c>
      <c r="J13" s="2" t="s">
        <v>127</v>
      </c>
      <c r="K13" s="2" t="s">
        <v>106</v>
      </c>
      <c r="L13" s="24"/>
      <c r="M13" s="2"/>
      <c r="N13" s="2"/>
      <c r="R13" s="24"/>
      <c r="X13" s="24"/>
      <c r="Y13" s="24"/>
      <c r="AE13" s="24"/>
      <c r="AF13" s="24" t="s">
        <v>81</v>
      </c>
      <c r="AH13" s="25" t="str">
        <f t="shared" si="1"/>
        <v>José María, Canelón Pérez</v>
      </c>
    </row>
    <row r="14" spans="1:35" ht="11.25" customHeight="1" x14ac:dyDescent="0.2">
      <c r="A14" s="2">
        <v>13</v>
      </c>
      <c r="B14" s="2">
        <v>18</v>
      </c>
      <c r="C14" s="2">
        <v>19</v>
      </c>
      <c r="D14" s="2">
        <v>4</v>
      </c>
      <c r="E14" s="2" t="s">
        <v>128</v>
      </c>
      <c r="F14" s="2" t="s">
        <v>184</v>
      </c>
      <c r="G14" s="24">
        <v>1878</v>
      </c>
      <c r="J14" s="2" t="s">
        <v>117</v>
      </c>
      <c r="K14" s="2" t="s">
        <v>106</v>
      </c>
      <c r="L14" s="24"/>
      <c r="M14" s="2"/>
      <c r="N14" s="2"/>
      <c r="R14" s="24"/>
      <c r="X14" s="24"/>
      <c r="Y14" s="24" t="s">
        <v>95</v>
      </c>
      <c r="Z14" s="24">
        <v>1961</v>
      </c>
      <c r="AA14" s="24">
        <v>3</v>
      </c>
      <c r="AB14" s="24">
        <v>28</v>
      </c>
      <c r="AC14" s="2" t="s">
        <v>129</v>
      </c>
      <c r="AD14" s="2" t="s">
        <v>106</v>
      </c>
      <c r="AE14" s="24" t="s">
        <v>94</v>
      </c>
      <c r="AF14" s="24" t="s">
        <v>82</v>
      </c>
      <c r="AH14" s="25" t="str">
        <f t="shared" si="1"/>
        <v>Luisa Dolores, Bustamante Martínez</v>
      </c>
    </row>
    <row r="15" spans="1:35" ht="11.25" customHeight="1" x14ac:dyDescent="0.2">
      <c r="A15" s="2">
        <v>14</v>
      </c>
      <c r="B15" s="2">
        <v>20</v>
      </c>
      <c r="C15" s="2">
        <v>21</v>
      </c>
      <c r="D15" s="2">
        <v>4</v>
      </c>
      <c r="E15" s="2" t="s">
        <v>130</v>
      </c>
      <c r="F15" s="2" t="s">
        <v>131</v>
      </c>
      <c r="G15" s="24">
        <v>1895</v>
      </c>
      <c r="J15" s="2" t="s">
        <v>117</v>
      </c>
      <c r="K15" s="2" t="s">
        <v>106</v>
      </c>
      <c r="L15" s="24"/>
      <c r="M15" s="2"/>
      <c r="N15" s="2"/>
      <c r="R15" s="24"/>
      <c r="X15" s="24"/>
      <c r="Y15" s="24" t="s">
        <v>95</v>
      </c>
      <c r="Z15" s="24">
        <v>1976</v>
      </c>
      <c r="AA15" s="24">
        <v>8</v>
      </c>
      <c r="AB15" s="24">
        <v>18</v>
      </c>
      <c r="AC15" s="2" t="s">
        <v>132</v>
      </c>
      <c r="AD15" s="2" t="s">
        <v>106</v>
      </c>
      <c r="AE15" s="24" t="s">
        <v>94</v>
      </c>
      <c r="AF15" s="24" t="s">
        <v>81</v>
      </c>
      <c r="AH15" s="25" t="str">
        <f t="shared" si="1"/>
        <v>Luis Rafael, Hernández Barrios</v>
      </c>
    </row>
    <row r="16" spans="1:35" ht="11.25" customHeight="1" x14ac:dyDescent="0.2">
      <c r="A16" s="2">
        <v>15</v>
      </c>
      <c r="B16" s="2">
        <v>22</v>
      </c>
      <c r="C16" s="2">
        <v>23</v>
      </c>
      <c r="D16" s="2">
        <v>4</v>
      </c>
      <c r="E16" s="2" t="s">
        <v>133</v>
      </c>
      <c r="F16" s="2" t="s">
        <v>134</v>
      </c>
      <c r="G16" s="24">
        <v>1897</v>
      </c>
      <c r="H16" s="24">
        <v>5</v>
      </c>
      <c r="I16" s="24">
        <v>31</v>
      </c>
      <c r="J16" s="2" t="s">
        <v>135</v>
      </c>
      <c r="K16" s="2" t="s">
        <v>106</v>
      </c>
      <c r="L16" s="24" t="s">
        <v>94</v>
      </c>
      <c r="M16" s="2"/>
      <c r="N16" s="2"/>
      <c r="R16" s="24"/>
      <c r="X16" s="24"/>
      <c r="Y16" s="24"/>
      <c r="AE16" s="24"/>
      <c r="AF16" s="24" t="s">
        <v>82</v>
      </c>
      <c r="AH16" s="25" t="str">
        <f t="shared" si="1"/>
        <v>Adela, Núñez Ruiz</v>
      </c>
    </row>
    <row r="17" spans="1:34" ht="11.25" customHeight="1" x14ac:dyDescent="0.2">
      <c r="A17" s="2">
        <v>16</v>
      </c>
      <c r="D17" s="2">
        <v>5</v>
      </c>
      <c r="E17" s="2" t="s">
        <v>136</v>
      </c>
      <c r="F17" s="2" t="s">
        <v>178</v>
      </c>
      <c r="G17" s="24">
        <v>1840</v>
      </c>
      <c r="J17" s="2" t="s">
        <v>127</v>
      </c>
      <c r="K17" s="2" t="s">
        <v>106</v>
      </c>
      <c r="L17" s="24"/>
      <c r="M17" s="2"/>
      <c r="N17" s="2"/>
      <c r="R17" s="24"/>
      <c r="X17" s="24"/>
      <c r="Y17" s="24"/>
      <c r="AE17" s="24"/>
      <c r="AF17" s="24" t="s">
        <v>81</v>
      </c>
      <c r="AH17" s="25" t="str">
        <f t="shared" si="1"/>
        <v>Pablo, Canelón Navarro</v>
      </c>
    </row>
    <row r="18" spans="1:34" ht="11.25" customHeight="1" x14ac:dyDescent="0.2">
      <c r="A18" s="2">
        <v>17</v>
      </c>
      <c r="D18" s="2">
        <v>5</v>
      </c>
      <c r="E18" s="2" t="s">
        <v>137</v>
      </c>
      <c r="F18" s="2" t="s">
        <v>138</v>
      </c>
      <c r="G18" s="24">
        <v>1845</v>
      </c>
      <c r="J18" s="2" t="s">
        <v>127</v>
      </c>
      <c r="K18" s="2" t="s">
        <v>106</v>
      </c>
      <c r="L18" s="24"/>
      <c r="M18" s="2"/>
      <c r="N18" s="2"/>
      <c r="R18" s="24"/>
      <c r="X18" s="24"/>
      <c r="Y18" s="24"/>
      <c r="AE18" s="24"/>
      <c r="AF18" s="24" t="s">
        <v>82</v>
      </c>
      <c r="AH18" s="25" t="str">
        <f>IF(E18&amp;", "&amp;F18=", ","",E18&amp;", "&amp;F18)</f>
        <v>Críspula, Pérez</v>
      </c>
    </row>
    <row r="19" spans="1:34" ht="11.25" customHeight="1" x14ac:dyDescent="0.2">
      <c r="A19" s="2">
        <v>18</v>
      </c>
      <c r="B19" s="2">
        <v>50</v>
      </c>
      <c r="C19" s="2">
        <v>51</v>
      </c>
      <c r="D19" s="2">
        <v>5</v>
      </c>
      <c r="E19" s="2" t="s">
        <v>116</v>
      </c>
      <c r="F19" s="2" t="s">
        <v>185</v>
      </c>
      <c r="G19" s="24">
        <v>1853</v>
      </c>
      <c r="J19" s="2" t="s">
        <v>117</v>
      </c>
      <c r="K19" s="2" t="s">
        <v>106</v>
      </c>
      <c r="L19" s="24"/>
      <c r="M19" s="2"/>
      <c r="N19" s="2"/>
      <c r="R19" s="24"/>
      <c r="X19" s="24"/>
      <c r="Y19" s="24" t="s">
        <v>95</v>
      </c>
      <c r="Z19" s="24">
        <v>1887</v>
      </c>
      <c r="AA19" s="24">
        <v>3</v>
      </c>
      <c r="AB19" s="24">
        <v>8</v>
      </c>
      <c r="AC19" s="2" t="s">
        <v>117</v>
      </c>
      <c r="AD19" s="2" t="s">
        <v>106</v>
      </c>
      <c r="AE19" s="24"/>
      <c r="AF19" s="24" t="s">
        <v>81</v>
      </c>
      <c r="AH19" s="25" t="str">
        <f t="shared" ref="AH19:AH20" si="2">IF(E19&amp;", "&amp;F19=", ","",E19&amp;", "&amp;F19)</f>
        <v>José María, Bustamante Zerpa</v>
      </c>
    </row>
    <row r="20" spans="1:34" ht="11.25" customHeight="1" x14ac:dyDescent="0.2">
      <c r="A20" s="2">
        <v>19</v>
      </c>
      <c r="D20" s="2">
        <v>5</v>
      </c>
      <c r="E20" s="2" t="s">
        <v>139</v>
      </c>
      <c r="F20" s="2" t="s">
        <v>140</v>
      </c>
      <c r="G20" s="24">
        <v>1856</v>
      </c>
      <c r="J20" s="2" t="s">
        <v>117</v>
      </c>
      <c r="K20" s="2" t="s">
        <v>106</v>
      </c>
      <c r="L20" s="24"/>
      <c r="M20" s="2"/>
      <c r="N20" s="2"/>
      <c r="R20" s="24"/>
      <c r="X20" s="24"/>
      <c r="Y20" s="24"/>
      <c r="AE20" s="24"/>
      <c r="AF20" s="24" t="s">
        <v>82</v>
      </c>
      <c r="AH20" s="25" t="str">
        <f t="shared" si="2"/>
        <v>Francisca Antonia, Martínez Baduel</v>
      </c>
    </row>
    <row r="21" spans="1:34" ht="11.25" customHeight="1" x14ac:dyDescent="0.2">
      <c r="A21" s="2">
        <v>20</v>
      </c>
      <c r="D21" s="2">
        <v>5</v>
      </c>
      <c r="E21" s="2" t="s">
        <v>141</v>
      </c>
      <c r="F21" s="2" t="s">
        <v>142</v>
      </c>
      <c r="G21" s="24">
        <v>1870</v>
      </c>
      <c r="J21" s="2" t="s">
        <v>117</v>
      </c>
      <c r="K21" s="2" t="s">
        <v>106</v>
      </c>
      <c r="L21" s="24"/>
      <c r="M21" s="2"/>
      <c r="N21" s="2"/>
      <c r="R21" s="24"/>
      <c r="X21" s="24"/>
      <c r="Y21" s="24"/>
      <c r="AE21" s="24"/>
      <c r="AF21" s="24" t="s">
        <v>81</v>
      </c>
      <c r="AH21" s="25" t="str">
        <f>IF(E21&amp;", "&amp;F21=", ","",E21&amp;", "&amp;F21)</f>
        <v>Santos, Hernández Ochoa</v>
      </c>
    </row>
    <row r="22" spans="1:34" ht="11.25" customHeight="1" x14ac:dyDescent="0.2">
      <c r="A22" s="2">
        <v>21</v>
      </c>
      <c r="D22" s="2">
        <v>5</v>
      </c>
      <c r="E22" s="2" t="s">
        <v>143</v>
      </c>
      <c r="F22" s="2" t="s">
        <v>144</v>
      </c>
      <c r="G22" s="24">
        <v>1875</v>
      </c>
      <c r="J22" s="2" t="s">
        <v>117</v>
      </c>
      <c r="K22" s="2" t="s">
        <v>106</v>
      </c>
      <c r="L22" s="24"/>
      <c r="M22" s="2"/>
      <c r="N22" s="2"/>
      <c r="R22" s="24"/>
      <c r="X22" s="24"/>
      <c r="Y22" s="24"/>
      <c r="AE22" s="24"/>
      <c r="AF22" s="24" t="s">
        <v>82</v>
      </c>
      <c r="AH22" s="46" t="str">
        <f>IF(E22&amp;", "&amp;F22=", ","",E22&amp;", "&amp;F22)</f>
        <v>Julia, Barrios</v>
      </c>
    </row>
    <row r="23" spans="1:34" ht="11.25" customHeight="1" x14ac:dyDescent="0.2">
      <c r="A23" s="2">
        <v>22</v>
      </c>
      <c r="D23" s="2">
        <v>5</v>
      </c>
      <c r="E23" s="2" t="s">
        <v>145</v>
      </c>
      <c r="F23" s="2" t="s">
        <v>146</v>
      </c>
      <c r="G23" s="24">
        <v>1867</v>
      </c>
      <c r="J23" s="2" t="s">
        <v>135</v>
      </c>
      <c r="K23" s="2" t="s">
        <v>106</v>
      </c>
      <c r="L23" s="24"/>
      <c r="M23" s="2"/>
      <c r="N23" s="2"/>
      <c r="R23" s="24"/>
      <c r="X23" s="24"/>
      <c r="Y23" s="24"/>
      <c r="AE23" s="24"/>
      <c r="AF23" s="24" t="s">
        <v>81</v>
      </c>
      <c r="AH23" s="46" t="str">
        <f>IF(E23&amp;", "&amp;F23=", ","",E23&amp;", "&amp;F23)</f>
        <v>Sancho, Núñez</v>
      </c>
    </row>
    <row r="24" spans="1:34" ht="11.25" customHeight="1" x14ac:dyDescent="0.2">
      <c r="A24" s="2">
        <v>23</v>
      </c>
      <c r="D24" s="2">
        <v>5</v>
      </c>
      <c r="E24" s="2" t="s">
        <v>147</v>
      </c>
      <c r="F24" s="2" t="s">
        <v>148</v>
      </c>
      <c r="G24" s="24">
        <v>1877</v>
      </c>
      <c r="J24" s="2" t="s">
        <v>135</v>
      </c>
      <c r="K24" s="2" t="s">
        <v>106</v>
      </c>
      <c r="L24" s="24"/>
      <c r="M24" s="2"/>
      <c r="N24" s="2"/>
      <c r="R24" s="24"/>
      <c r="X24" s="24"/>
      <c r="Y24" s="24"/>
      <c r="AE24" s="24"/>
      <c r="AF24" s="24" t="s">
        <v>82</v>
      </c>
      <c r="AH24" s="25" t="str">
        <f t="shared" ref="AH24:AH54" si="3">IF(E24&amp;", "&amp;F24=", ","",E24&amp;", "&amp;F24)</f>
        <v>María de Jesús, Ruiz</v>
      </c>
    </row>
    <row r="25" spans="1:34" ht="11.25" customHeight="1" x14ac:dyDescent="0.2">
      <c r="A25" s="2">
        <v>24</v>
      </c>
      <c r="D25" s="2">
        <v>6</v>
      </c>
      <c r="E25" s="2" t="s">
        <v>116</v>
      </c>
      <c r="F25" s="2" t="s">
        <v>124</v>
      </c>
      <c r="L25" s="24"/>
      <c r="M25" s="2"/>
      <c r="N25" s="2"/>
      <c r="R25" s="24"/>
      <c r="X25" s="24"/>
      <c r="Y25" s="24"/>
      <c r="AE25" s="24"/>
      <c r="AF25" s="24" t="s">
        <v>81</v>
      </c>
      <c r="AH25" s="25" t="str">
        <f t="shared" si="3"/>
        <v>José María, Gómez</v>
      </c>
    </row>
    <row r="26" spans="1:34" ht="11.25" customHeight="1" x14ac:dyDescent="0.2">
      <c r="A26" s="2">
        <v>25</v>
      </c>
      <c r="D26" s="2">
        <v>6</v>
      </c>
      <c r="E26" s="2" t="s">
        <v>149</v>
      </c>
      <c r="F26" s="2" t="s">
        <v>150</v>
      </c>
      <c r="L26" s="24"/>
      <c r="M26" s="2"/>
      <c r="N26" s="2"/>
      <c r="R26" s="24"/>
      <c r="X26" s="24"/>
      <c r="Y26" s="24"/>
      <c r="AE26" s="24"/>
      <c r="AF26" s="24" t="s">
        <v>82</v>
      </c>
      <c r="AH26" s="25" t="str">
        <f t="shared" si="3"/>
        <v>Encarnación, de Gómez</v>
      </c>
    </row>
    <row r="27" spans="1:34" ht="11.25" customHeight="1" x14ac:dyDescent="0.2">
      <c r="A27" s="2">
        <v>26</v>
      </c>
      <c r="B27" s="2">
        <v>10</v>
      </c>
      <c r="C27" s="2">
        <v>11</v>
      </c>
      <c r="D27" s="2">
        <v>3</v>
      </c>
      <c r="E27" s="2" t="s">
        <v>151</v>
      </c>
      <c r="F27" s="2" t="s">
        <v>114</v>
      </c>
      <c r="L27" s="24"/>
      <c r="M27" s="2"/>
      <c r="N27" s="2"/>
      <c r="R27" s="24"/>
      <c r="X27" s="24"/>
      <c r="Y27" s="24"/>
      <c r="AE27" s="24"/>
      <c r="AF27" s="24" t="s">
        <v>82</v>
      </c>
      <c r="AH27" s="25" t="str">
        <f t="shared" si="3"/>
        <v>María, Gómez López</v>
      </c>
    </row>
    <row r="28" spans="1:34" ht="11.25" customHeight="1" x14ac:dyDescent="0.2">
      <c r="A28" s="2">
        <v>27</v>
      </c>
      <c r="B28" s="2">
        <v>10</v>
      </c>
      <c r="C28" s="2">
        <v>11</v>
      </c>
      <c r="D28" s="2">
        <v>3</v>
      </c>
      <c r="E28" s="2" t="s">
        <v>83</v>
      </c>
      <c r="F28" s="2" t="s">
        <v>114</v>
      </c>
      <c r="L28" s="24"/>
      <c r="M28" s="2"/>
      <c r="N28" s="2"/>
      <c r="R28" s="24"/>
      <c r="X28" s="24"/>
      <c r="Y28" s="24"/>
      <c r="AE28" s="24"/>
      <c r="AF28" s="24" t="s">
        <v>82</v>
      </c>
      <c r="AH28" s="25" t="str">
        <f t="shared" si="3"/>
        <v>Carmen, Gómez López</v>
      </c>
    </row>
    <row r="29" spans="1:34" ht="11.25" customHeight="1" x14ac:dyDescent="0.2">
      <c r="A29" s="2">
        <v>28</v>
      </c>
      <c r="B29" s="2">
        <v>10</v>
      </c>
      <c r="C29" s="2">
        <v>11</v>
      </c>
      <c r="D29" s="2">
        <v>3</v>
      </c>
      <c r="E29" s="2" t="s">
        <v>123</v>
      </c>
      <c r="F29" s="2" t="s">
        <v>114</v>
      </c>
      <c r="L29" s="24"/>
      <c r="M29" s="2"/>
      <c r="N29" s="2"/>
      <c r="R29" s="24"/>
      <c r="X29" s="24"/>
      <c r="Y29" s="24"/>
      <c r="AE29" s="24"/>
      <c r="AF29" s="24" t="s">
        <v>81</v>
      </c>
      <c r="AH29" s="25" t="str">
        <f t="shared" si="3"/>
        <v>Romualdo, Gómez López</v>
      </c>
    </row>
    <row r="30" spans="1:34" ht="11.25" customHeight="1" x14ac:dyDescent="0.2">
      <c r="A30" s="2">
        <v>29</v>
      </c>
      <c r="B30" s="2">
        <v>10</v>
      </c>
      <c r="D30" s="2">
        <v>3</v>
      </c>
      <c r="E30" s="2" t="s">
        <v>152</v>
      </c>
      <c r="F30" s="2" t="s">
        <v>124</v>
      </c>
      <c r="L30" s="24"/>
      <c r="M30" s="2"/>
      <c r="N30" s="2"/>
      <c r="R30" s="24"/>
      <c r="X30" s="24"/>
      <c r="Y30" s="24"/>
      <c r="AE30" s="24"/>
      <c r="AF30" s="24" t="s">
        <v>82</v>
      </c>
      <c r="AH30" s="25" t="str">
        <f t="shared" si="3"/>
        <v>Lismes, Gómez</v>
      </c>
    </row>
    <row r="31" spans="1:34" ht="11.25" customHeight="1" x14ac:dyDescent="0.2">
      <c r="A31" s="2">
        <v>30</v>
      </c>
      <c r="B31" s="2">
        <v>10</v>
      </c>
      <c r="D31" s="2">
        <v>3</v>
      </c>
      <c r="E31" s="2" t="s">
        <v>153</v>
      </c>
      <c r="F31" s="2" t="s">
        <v>124</v>
      </c>
      <c r="L31" s="24"/>
      <c r="M31" s="2"/>
      <c r="N31" s="2"/>
      <c r="R31" s="24"/>
      <c r="X31" s="24"/>
      <c r="Y31" s="24"/>
      <c r="AE31" s="24"/>
      <c r="AF31" s="24" t="s">
        <v>81</v>
      </c>
      <c r="AH31" s="25" t="str">
        <f t="shared" si="3"/>
        <v>Leopardo, Gómez</v>
      </c>
    </row>
    <row r="32" spans="1:34" ht="11.25" customHeight="1" x14ac:dyDescent="0.2">
      <c r="A32" s="2">
        <v>31</v>
      </c>
      <c r="B32" s="2">
        <v>10</v>
      </c>
      <c r="D32" s="2">
        <v>3</v>
      </c>
      <c r="E32" s="2" t="s">
        <v>154</v>
      </c>
      <c r="F32" s="2" t="s">
        <v>124</v>
      </c>
      <c r="L32" s="24"/>
      <c r="M32" s="2"/>
      <c r="N32" s="2"/>
      <c r="R32" s="24"/>
      <c r="X32" s="24"/>
      <c r="Y32" s="24"/>
      <c r="AE32" s="24"/>
      <c r="AF32" s="24" t="s">
        <v>81</v>
      </c>
      <c r="AH32" s="25" t="str">
        <f t="shared" si="3"/>
        <v>Delfin, Gómez</v>
      </c>
    </row>
    <row r="33" spans="1:34" ht="11.25" customHeight="1" x14ac:dyDescent="0.2">
      <c r="A33" s="2">
        <v>32</v>
      </c>
      <c r="B33" s="2">
        <v>10</v>
      </c>
      <c r="C33" s="2">
        <v>11</v>
      </c>
      <c r="D33" s="2">
        <v>3</v>
      </c>
      <c r="E33" s="2" t="s">
        <v>155</v>
      </c>
      <c r="F33" s="2" t="s">
        <v>114</v>
      </c>
      <c r="L33" s="24"/>
      <c r="M33" s="2"/>
      <c r="N33" s="2"/>
      <c r="R33" s="24"/>
      <c r="X33" s="24"/>
      <c r="Y33" s="24"/>
      <c r="AE33" s="24"/>
      <c r="AF33" s="24" t="s">
        <v>81</v>
      </c>
      <c r="AH33" s="25" t="str">
        <f t="shared" si="3"/>
        <v>Luis, Gómez López</v>
      </c>
    </row>
    <row r="34" spans="1:34" ht="11.25" customHeight="1" x14ac:dyDescent="0.2">
      <c r="A34" s="2">
        <v>33</v>
      </c>
      <c r="B34" s="2">
        <v>10</v>
      </c>
      <c r="C34" s="2">
        <v>11</v>
      </c>
      <c r="D34" s="2">
        <v>3</v>
      </c>
      <c r="E34" s="2" t="s">
        <v>156</v>
      </c>
      <c r="F34" s="2" t="s">
        <v>114</v>
      </c>
      <c r="L34" s="24"/>
      <c r="M34" s="2"/>
      <c r="N34" s="2"/>
      <c r="R34" s="24"/>
      <c r="X34" s="24"/>
      <c r="Y34" s="24"/>
      <c r="AE34" s="24"/>
      <c r="AF34" s="24" t="s">
        <v>82</v>
      </c>
      <c r="AH34" s="25" t="str">
        <f t="shared" si="3"/>
        <v>Barbaray, Gómez López</v>
      </c>
    </row>
    <row r="35" spans="1:34" ht="11.25" customHeight="1" x14ac:dyDescent="0.2">
      <c r="A35" s="2">
        <v>34</v>
      </c>
      <c r="B35" s="2">
        <v>6</v>
      </c>
      <c r="C35" s="2">
        <v>7</v>
      </c>
      <c r="D35" s="2">
        <v>2</v>
      </c>
      <c r="E35" s="2" t="s">
        <v>116</v>
      </c>
      <c r="F35" s="2" t="s">
        <v>176</v>
      </c>
      <c r="L35" s="24"/>
      <c r="M35" s="2"/>
      <c r="N35" s="2"/>
      <c r="R35" s="24"/>
      <c r="X35" s="24"/>
      <c r="Y35" s="24"/>
      <c r="AE35" s="24"/>
      <c r="AF35" s="24" t="s">
        <v>81</v>
      </c>
      <c r="AH35" s="25" t="str">
        <f t="shared" si="3"/>
        <v>José María, Canelón Hernández</v>
      </c>
    </row>
    <row r="36" spans="1:34" ht="11.25" customHeight="1" x14ac:dyDescent="0.2">
      <c r="A36" s="2">
        <v>35</v>
      </c>
      <c r="B36" s="2">
        <v>6</v>
      </c>
      <c r="C36" s="2">
        <v>7</v>
      </c>
      <c r="D36" s="2">
        <v>2</v>
      </c>
      <c r="E36" s="2" t="s">
        <v>157</v>
      </c>
      <c r="F36" s="2" t="s">
        <v>176</v>
      </c>
      <c r="L36" s="24"/>
      <c r="M36" s="2"/>
      <c r="N36" s="2"/>
      <c r="R36" s="24"/>
      <c r="X36" s="24"/>
      <c r="Y36" s="24"/>
      <c r="AE36" s="24"/>
      <c r="AF36" s="24" t="s">
        <v>81</v>
      </c>
      <c r="AH36" s="25" t="str">
        <f t="shared" si="3"/>
        <v>Luis Cristian, Canelón Hernández</v>
      </c>
    </row>
    <row r="37" spans="1:34" ht="11.25" customHeight="1" x14ac:dyDescent="0.2">
      <c r="A37" s="2">
        <v>36</v>
      </c>
      <c r="B37" s="2">
        <v>6</v>
      </c>
      <c r="C37" s="2">
        <v>7</v>
      </c>
      <c r="D37" s="2">
        <v>2</v>
      </c>
      <c r="E37" s="2" t="s">
        <v>158</v>
      </c>
      <c r="F37" s="2" t="s">
        <v>176</v>
      </c>
      <c r="L37" s="24"/>
      <c r="M37" s="2"/>
      <c r="N37" s="2"/>
      <c r="R37" s="24"/>
      <c r="X37" s="24"/>
      <c r="Y37" s="24"/>
      <c r="AE37" s="24"/>
      <c r="AF37" s="24" t="s">
        <v>82</v>
      </c>
      <c r="AH37" s="25" t="str">
        <f t="shared" si="3"/>
        <v>Carmen Adriana, Canelón Hernández</v>
      </c>
    </row>
    <row r="38" spans="1:34" ht="11.25" customHeight="1" x14ac:dyDescent="0.2">
      <c r="A38" s="2">
        <v>37</v>
      </c>
      <c r="B38" s="2">
        <v>6</v>
      </c>
      <c r="C38" s="2">
        <v>7</v>
      </c>
      <c r="D38" s="2">
        <v>2</v>
      </c>
      <c r="E38" s="2" t="s">
        <v>159</v>
      </c>
      <c r="F38" s="2" t="s">
        <v>176</v>
      </c>
      <c r="L38" s="24"/>
      <c r="M38" s="2"/>
      <c r="N38" s="2"/>
      <c r="R38" s="24"/>
      <c r="X38" s="24"/>
      <c r="Y38" s="24"/>
      <c r="AE38" s="24"/>
      <c r="AF38" s="24" t="s">
        <v>81</v>
      </c>
      <c r="AH38" s="25" t="str">
        <f t="shared" si="3"/>
        <v>Juan Carlos, Canelón Hernández</v>
      </c>
    </row>
    <row r="39" spans="1:34" ht="11.25" customHeight="1" x14ac:dyDescent="0.2">
      <c r="A39" s="2">
        <v>38</v>
      </c>
      <c r="B39" s="2">
        <v>6</v>
      </c>
      <c r="C39" s="2">
        <v>7</v>
      </c>
      <c r="D39" s="2">
        <v>2</v>
      </c>
      <c r="E39" s="2" t="s">
        <v>160</v>
      </c>
      <c r="F39" s="2" t="s">
        <v>176</v>
      </c>
      <c r="L39" s="24"/>
      <c r="M39" s="2"/>
      <c r="N39" s="2"/>
      <c r="R39" s="24"/>
      <c r="X39" s="24"/>
      <c r="Y39" s="24"/>
      <c r="AE39" s="24"/>
      <c r="AF39" s="24" t="s">
        <v>82</v>
      </c>
      <c r="AH39" s="25" t="str">
        <f t="shared" si="3"/>
        <v>María Margarita, Canelón Hernández</v>
      </c>
    </row>
    <row r="40" spans="1:34" ht="11.25" customHeight="1" x14ac:dyDescent="0.2">
      <c r="A40" s="2">
        <v>39</v>
      </c>
      <c r="B40" s="2">
        <v>12</v>
      </c>
      <c r="C40" s="2">
        <v>13</v>
      </c>
      <c r="D40" s="2">
        <v>3</v>
      </c>
      <c r="E40" s="2" t="s">
        <v>83</v>
      </c>
      <c r="F40" s="2" t="s">
        <v>183</v>
      </c>
      <c r="L40" s="24"/>
      <c r="M40" s="2"/>
      <c r="N40" s="2"/>
      <c r="R40" s="24"/>
      <c r="X40" s="24"/>
      <c r="Y40" s="24"/>
      <c r="AE40" s="24"/>
      <c r="AF40" s="24" t="s">
        <v>82</v>
      </c>
      <c r="AH40" s="25" t="str">
        <f t="shared" si="3"/>
        <v>Carmen, Canelón Bustamante</v>
      </c>
    </row>
    <row r="41" spans="1:34" ht="11.25" customHeight="1" x14ac:dyDescent="0.2">
      <c r="A41" s="2">
        <v>40</v>
      </c>
      <c r="B41" s="2">
        <v>12</v>
      </c>
      <c r="C41" s="2">
        <v>13</v>
      </c>
      <c r="D41" s="2">
        <v>3</v>
      </c>
      <c r="E41" s="2" t="s">
        <v>161</v>
      </c>
      <c r="F41" s="2" t="s">
        <v>183</v>
      </c>
      <c r="L41" s="24"/>
      <c r="M41" s="2"/>
      <c r="N41" s="2"/>
      <c r="R41" s="24"/>
      <c r="X41" s="24"/>
      <c r="Y41" s="24"/>
      <c r="AE41" s="24"/>
      <c r="AF41" s="24" t="s">
        <v>82</v>
      </c>
      <c r="AH41" s="25" t="str">
        <f t="shared" si="3"/>
        <v>Ana, Canelón Bustamante</v>
      </c>
    </row>
    <row r="42" spans="1:34" ht="11.25" customHeight="1" x14ac:dyDescent="0.2">
      <c r="A42" s="2">
        <v>41</v>
      </c>
      <c r="B42" s="2">
        <v>12</v>
      </c>
      <c r="C42" s="2">
        <v>13</v>
      </c>
      <c r="D42" s="2">
        <v>3</v>
      </c>
      <c r="E42" s="2" t="s">
        <v>162</v>
      </c>
      <c r="F42" s="2" t="s">
        <v>183</v>
      </c>
      <c r="L42" s="24"/>
      <c r="M42" s="2"/>
      <c r="N42" s="2"/>
      <c r="R42" s="24"/>
      <c r="X42" s="24"/>
      <c r="Y42" s="24"/>
      <c r="AE42" s="24"/>
      <c r="AF42" s="24" t="s">
        <v>82</v>
      </c>
      <c r="AH42" s="25" t="str">
        <f t="shared" si="3"/>
        <v>Crispula, Canelón Bustamante</v>
      </c>
    </row>
    <row r="43" spans="1:34" ht="11.25" customHeight="1" x14ac:dyDescent="0.2">
      <c r="A43" s="2">
        <v>42</v>
      </c>
      <c r="B43" s="2">
        <v>12</v>
      </c>
      <c r="C43" s="2">
        <v>13</v>
      </c>
      <c r="D43" s="2">
        <v>3</v>
      </c>
      <c r="E43" s="2" t="s">
        <v>163</v>
      </c>
      <c r="F43" s="2" t="s">
        <v>183</v>
      </c>
      <c r="L43" s="24"/>
      <c r="M43" s="2"/>
      <c r="N43" s="2"/>
      <c r="R43" s="24"/>
      <c r="X43" s="24"/>
      <c r="Y43" s="24"/>
      <c r="AE43" s="24"/>
      <c r="AF43" s="24" t="s">
        <v>81</v>
      </c>
      <c r="AH43" s="25" t="str">
        <f t="shared" si="3"/>
        <v>José Luis, Canelón Bustamante</v>
      </c>
    </row>
    <row r="44" spans="1:34" ht="11.25" customHeight="1" x14ac:dyDescent="0.2">
      <c r="A44" s="2">
        <v>43</v>
      </c>
      <c r="B44" s="2">
        <v>12</v>
      </c>
      <c r="C44" s="2">
        <v>13</v>
      </c>
      <c r="D44" s="2">
        <v>3</v>
      </c>
      <c r="E44" s="2" t="s">
        <v>136</v>
      </c>
      <c r="F44" s="2" t="s">
        <v>183</v>
      </c>
      <c r="L44" s="24"/>
      <c r="M44" s="2"/>
      <c r="N44" s="2"/>
      <c r="R44" s="24"/>
      <c r="X44" s="24"/>
      <c r="Y44" s="24"/>
      <c r="AE44" s="24"/>
      <c r="AF44" s="24" t="s">
        <v>81</v>
      </c>
      <c r="AH44" s="25" t="str">
        <f t="shared" si="3"/>
        <v>Pablo, Canelón Bustamante</v>
      </c>
    </row>
    <row r="45" spans="1:34" ht="11.25" customHeight="1" x14ac:dyDescent="0.2">
      <c r="A45" s="2">
        <v>44</v>
      </c>
      <c r="B45" s="2">
        <v>12</v>
      </c>
      <c r="C45" s="2">
        <v>13</v>
      </c>
      <c r="D45" s="2">
        <v>3</v>
      </c>
      <c r="E45" s="2" t="s">
        <v>164</v>
      </c>
      <c r="F45" s="2" t="s">
        <v>183</v>
      </c>
      <c r="L45" s="24"/>
      <c r="M45" s="2"/>
      <c r="N45" s="2"/>
      <c r="R45" s="24"/>
      <c r="X45" s="24"/>
      <c r="Y45" s="24"/>
      <c r="AE45" s="24"/>
      <c r="AF45" s="24" t="s">
        <v>81</v>
      </c>
      <c r="AH45" s="25" t="str">
        <f t="shared" si="3"/>
        <v>Francisco, Canelón Bustamante</v>
      </c>
    </row>
    <row r="46" spans="1:34" ht="11.25" customHeight="1" x14ac:dyDescent="0.2">
      <c r="A46" s="2">
        <v>45</v>
      </c>
      <c r="B46" s="2">
        <v>14</v>
      </c>
      <c r="C46" s="2">
        <v>15</v>
      </c>
      <c r="D46" s="2">
        <v>3</v>
      </c>
      <c r="E46" s="2" t="s">
        <v>143</v>
      </c>
      <c r="F46" s="2" t="s">
        <v>119</v>
      </c>
      <c r="L46" s="24"/>
      <c r="M46" s="2"/>
      <c r="N46" s="2"/>
      <c r="R46" s="24"/>
      <c r="X46" s="24"/>
      <c r="Y46" s="24"/>
      <c r="AE46" s="24"/>
      <c r="AF46" s="24" t="s">
        <v>82</v>
      </c>
      <c r="AH46" s="25" t="str">
        <f t="shared" si="3"/>
        <v>Julia, Hernández Núñez</v>
      </c>
    </row>
    <row r="47" spans="1:34" ht="11.25" customHeight="1" x14ac:dyDescent="0.2">
      <c r="A47" s="2">
        <v>46</v>
      </c>
      <c r="B47" s="2">
        <v>14</v>
      </c>
      <c r="C47" s="2">
        <v>15</v>
      </c>
      <c r="D47" s="2">
        <v>3</v>
      </c>
      <c r="E47" s="2" t="s">
        <v>165</v>
      </c>
      <c r="F47" s="2" t="s">
        <v>119</v>
      </c>
      <c r="L47" s="24"/>
      <c r="M47" s="2"/>
      <c r="N47" s="2"/>
      <c r="R47" s="24"/>
      <c r="X47" s="24"/>
      <c r="Y47" s="24"/>
      <c r="AE47" s="24"/>
      <c r="AF47" s="24" t="s">
        <v>82</v>
      </c>
      <c r="AH47" s="25" t="str">
        <f t="shared" si="3"/>
        <v>Adelaida, Hernández Núñez</v>
      </c>
    </row>
    <row r="48" spans="1:34" ht="11.25" customHeight="1" x14ac:dyDescent="0.2">
      <c r="A48" s="2">
        <v>47</v>
      </c>
      <c r="B48" s="2">
        <v>14</v>
      </c>
      <c r="C48" s="2">
        <v>15</v>
      </c>
      <c r="D48" s="2">
        <v>3</v>
      </c>
      <c r="E48" s="2" t="s">
        <v>166</v>
      </c>
      <c r="F48" s="2" t="s">
        <v>119</v>
      </c>
      <c r="L48" s="24"/>
      <c r="M48" s="2"/>
      <c r="N48" s="2"/>
      <c r="R48" s="24"/>
      <c r="X48" s="24"/>
      <c r="Y48" s="24"/>
      <c r="AE48" s="24"/>
      <c r="AF48" s="24" t="s">
        <v>81</v>
      </c>
      <c r="AH48" s="25" t="str">
        <f t="shared" si="3"/>
        <v>Carlos Enrique, Hernández Núñez</v>
      </c>
    </row>
    <row r="49" spans="1:34" ht="11.25" customHeight="1" x14ac:dyDescent="0.2">
      <c r="A49" s="2">
        <v>48</v>
      </c>
      <c r="B49" s="2">
        <v>2</v>
      </c>
      <c r="C49" s="2">
        <v>3</v>
      </c>
      <c r="D49" s="2">
        <v>1</v>
      </c>
      <c r="E49" s="2" t="s">
        <v>110</v>
      </c>
      <c r="F49" s="2" t="s">
        <v>175</v>
      </c>
      <c r="L49" s="24"/>
      <c r="M49" s="2"/>
      <c r="N49" s="2"/>
      <c r="R49" s="24"/>
      <c r="X49" s="24"/>
      <c r="Y49" s="24"/>
      <c r="AE49" s="24"/>
      <c r="AF49" s="24" t="s">
        <v>81</v>
      </c>
      <c r="AH49" s="25" t="str">
        <f t="shared" si="3"/>
        <v>Luis Carlos, Bazó Canelón</v>
      </c>
    </row>
    <row r="50" spans="1:34" ht="11.25" customHeight="1" x14ac:dyDescent="0.2">
      <c r="A50" s="2">
        <v>49</v>
      </c>
      <c r="B50" s="2">
        <v>2</v>
      </c>
      <c r="C50" s="2">
        <v>3</v>
      </c>
      <c r="D50" s="2">
        <v>1</v>
      </c>
      <c r="E50" s="2" t="s">
        <v>167</v>
      </c>
      <c r="F50" s="2" t="s">
        <v>175</v>
      </c>
      <c r="L50" s="24"/>
      <c r="M50" s="2"/>
      <c r="N50" s="2"/>
      <c r="R50" s="24"/>
      <c r="X50" s="24"/>
      <c r="Y50" s="24"/>
      <c r="AE50" s="24"/>
      <c r="AF50" s="24" t="s">
        <v>82</v>
      </c>
      <c r="AH50" s="25" t="str">
        <f t="shared" si="3"/>
        <v>Marian, Bazó Canelón</v>
      </c>
    </row>
    <row r="51" spans="1:34" ht="11.25" customHeight="1" x14ac:dyDescent="0.2">
      <c r="A51" s="2">
        <v>50</v>
      </c>
      <c r="D51" s="2">
        <v>6</v>
      </c>
      <c r="E51" s="2" t="s">
        <v>190</v>
      </c>
      <c r="F51" s="2" t="s">
        <v>186</v>
      </c>
      <c r="L51" s="24"/>
      <c r="M51" s="2"/>
      <c r="N51" s="2"/>
      <c r="R51" s="24"/>
      <c r="X51" s="24"/>
      <c r="Y51" s="24" t="s">
        <v>95</v>
      </c>
      <c r="AE51" s="24"/>
      <c r="AF51" s="24" t="s">
        <v>81</v>
      </c>
      <c r="AH51" s="25" t="str">
        <f t="shared" si="3"/>
        <v>Pedro Jesús, Bustamante Buros</v>
      </c>
    </row>
    <row r="52" spans="1:34" ht="11.25" customHeight="1" x14ac:dyDescent="0.2">
      <c r="A52" s="2">
        <v>51</v>
      </c>
      <c r="D52" s="2">
        <v>6</v>
      </c>
      <c r="E52" s="2" t="s">
        <v>168</v>
      </c>
      <c r="F52" s="2" t="s">
        <v>169</v>
      </c>
      <c r="L52" s="24"/>
      <c r="M52" s="2"/>
      <c r="N52" s="2"/>
      <c r="R52" s="24"/>
      <c r="X52" s="24"/>
      <c r="Y52" s="24" t="s">
        <v>95</v>
      </c>
      <c r="AE52" s="24"/>
      <c r="AF52" s="24" t="s">
        <v>82</v>
      </c>
      <c r="AH52" s="25" t="str">
        <f t="shared" si="3"/>
        <v>María Manuela, Zerpa</v>
      </c>
    </row>
    <row r="53" spans="1:34" ht="11.25" customHeight="1" x14ac:dyDescent="0.2">
      <c r="A53" s="2">
        <v>52</v>
      </c>
      <c r="B53" s="2">
        <v>4</v>
      </c>
      <c r="C53" s="2">
        <v>5</v>
      </c>
      <c r="D53" s="2">
        <v>2</v>
      </c>
      <c r="E53" s="2" t="s">
        <v>170</v>
      </c>
      <c r="F53" s="2" t="s">
        <v>172</v>
      </c>
      <c r="L53" s="24"/>
      <c r="M53" s="2"/>
      <c r="N53" s="2"/>
      <c r="R53" s="24"/>
      <c r="X53" s="24"/>
      <c r="Y53" s="24"/>
      <c r="AE53" s="24"/>
      <c r="AF53" s="24" t="s">
        <v>81</v>
      </c>
      <c r="AH53" s="25" t="str">
        <f t="shared" si="3"/>
        <v>Roberto José, Bazó Gómez</v>
      </c>
    </row>
    <row r="54" spans="1:34" ht="11.25" customHeight="1" x14ac:dyDescent="0.2">
      <c r="A54" s="2">
        <v>53</v>
      </c>
      <c r="B54" s="2">
        <v>4</v>
      </c>
      <c r="C54" s="2">
        <v>5</v>
      </c>
      <c r="D54" s="2">
        <v>2</v>
      </c>
      <c r="E54" s="2" t="s">
        <v>189</v>
      </c>
      <c r="F54" s="2" t="s">
        <v>172</v>
      </c>
      <c r="L54" s="24"/>
      <c r="M54" s="2"/>
      <c r="N54" s="2"/>
      <c r="R54" s="24"/>
      <c r="X54" s="24"/>
      <c r="Y54" s="24"/>
      <c r="AE54" s="24"/>
      <c r="AF54" s="24" t="s">
        <v>82</v>
      </c>
      <c r="AH54" s="25" t="str">
        <f t="shared" si="3"/>
        <v>Josefina, Bazó Gómez</v>
      </c>
    </row>
  </sheetData>
  <conditionalFormatting sqref="A1 A55:A1048576">
    <cfRule type="duplicateValues" dxfId="65" priority="11"/>
  </conditionalFormatting>
  <conditionalFormatting sqref="A2:A4">
    <cfRule type="duplicateValues" dxfId="64" priority="1"/>
  </conditionalFormatting>
  <conditionalFormatting sqref="A5:A54">
    <cfRule type="duplicateValues" dxfId="63" priority="2"/>
  </conditionalFormatting>
  <dataValidations count="3">
    <dataValidation type="list" allowBlank="1" showInputMessage="1" showErrorMessage="1" sqref="O2:O54 H2:H54" xr:uid="{00000000-0002-0000-0100-000000000000}">
      <formula1>"1,2,3,4,5,6,7,8,9,10,11,12"</formula1>
    </dataValidation>
    <dataValidation type="list" allowBlank="1" showInputMessage="1" showErrorMessage="1" sqref="L2:L54 X2:Y54 R2:R54 AE2:AE54" xr:uid="{00000000-0002-0000-0100-000001000000}">
      <formula1>"Si,No"</formula1>
    </dataValidation>
    <dataValidation type="list" allowBlank="1" showInputMessage="1" showErrorMessage="1" sqref="AF2:AF54" xr:uid="{00000000-0002-0000-0100-000002000000}">
      <formula1>"Hombre,Mujer"</formula1>
    </dataValidation>
  </dataValidations>
  <pageMargins left="0.7" right="0.7" top="0.75" bottom="0.75" header="0.3" footer="0.3"/>
  <pageSetup orientation="portrait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2" tint="-0.249977111117893"/>
  </sheetPr>
  <dimension ref="A1:K25"/>
  <sheetViews>
    <sheetView workbookViewId="0">
      <selection activeCell="D33" sqref="D33"/>
    </sheetView>
  </sheetViews>
  <sheetFormatPr baseColWidth="10" defaultColWidth="9.109375" defaultRowHeight="10.199999999999999" x14ac:dyDescent="0.2"/>
  <cols>
    <col min="1" max="1" width="9.109375" style="3"/>
    <col min="2" max="2" width="11.6640625" style="3" bestFit="1" customWidth="1"/>
    <col min="3" max="3" width="9.109375" style="3"/>
    <col min="4" max="4" width="30.44140625" style="3" bestFit="1" customWidth="1"/>
    <col min="5" max="5" width="3.6640625" style="3" customWidth="1"/>
    <col min="6" max="6" width="9.109375" style="3"/>
    <col min="7" max="7" width="11" style="3" customWidth="1"/>
    <col min="8" max="8" width="9.109375" style="3"/>
    <col min="9" max="9" width="24.6640625" style="3" bestFit="1" customWidth="1"/>
    <col min="10" max="10" width="3.6640625" style="3" customWidth="1"/>
    <col min="11" max="11" width="13" style="3" customWidth="1"/>
    <col min="12" max="16384" width="9.109375" style="3"/>
  </cols>
  <sheetData>
    <row r="1" spans="1:11" x14ac:dyDescent="0.2">
      <c r="A1" s="1" t="s">
        <v>57</v>
      </c>
      <c r="F1" s="1" t="s">
        <v>58</v>
      </c>
    </row>
    <row r="2" spans="1:11" s="1" customFormat="1" x14ac:dyDescent="0.2">
      <c r="A2" s="1" t="s">
        <v>0</v>
      </c>
      <c r="B2" s="1" t="s">
        <v>37</v>
      </c>
      <c r="C2" s="1" t="s">
        <v>78</v>
      </c>
      <c r="D2" s="1" t="s">
        <v>43</v>
      </c>
      <c r="F2" s="1" t="s">
        <v>0</v>
      </c>
      <c r="G2" s="1" t="s">
        <v>56</v>
      </c>
      <c r="H2" s="1" t="s">
        <v>46</v>
      </c>
      <c r="I2" s="1" t="s">
        <v>4</v>
      </c>
      <c r="K2" s="1" t="s">
        <v>107</v>
      </c>
    </row>
    <row r="3" spans="1:11" x14ac:dyDescent="0.2">
      <c r="A3" s="3">
        <v>1</v>
      </c>
      <c r="B3" s="3" t="s">
        <v>38</v>
      </c>
      <c r="C3" s="11">
        <v>1</v>
      </c>
      <c r="D3" s="3" t="str">
        <f>IFERROR(VLOOKUP(C3,Datos,COLUMN(Datos!$E:$E),0)&amp;", "&amp;VLOOKUP(C3,Datos,COLUMN(Datos!$F:$F),0),"")</f>
        <v>Pedro José, Bazó Canelón</v>
      </c>
      <c r="F3" s="3">
        <v>1</v>
      </c>
      <c r="G3" s="3" t="s">
        <v>59</v>
      </c>
      <c r="H3" s="3" t="str">
        <f>IFERROR(MATCH(IDPrincipal,Datos!$B$2:$B$1048576,0),IFERROR(MATCH(IDPrincipal,Datos!$C$2:$C$1048576,0),""))</f>
        <v/>
      </c>
      <c r="I3" s="3" t="str">
        <f>IFERROR(VLOOKUP(H3,Datos,COLUMN(Datos!$E:$E),0)&amp;", "&amp;VLOOKUP(H3,Datos,COLUMN(Datos!$F:$F),0),"")</f>
        <v/>
      </c>
      <c r="K3" s="3">
        <f>MAX(Tabla1[ID])</f>
        <v>53</v>
      </c>
    </row>
    <row r="4" spans="1:11" x14ac:dyDescent="0.2">
      <c r="A4" s="3">
        <v>2</v>
      </c>
      <c r="B4" s="3" t="s">
        <v>1</v>
      </c>
      <c r="C4" s="3">
        <f>IFERROR(VLOOKUP(IDPrincipal,Datos,COLUMN(Datos!$B:$B),0),0)</f>
        <v>2</v>
      </c>
      <c r="D4" s="3" t="str">
        <f>IFERROR(VLOOKUP(C4,Datos,COLUMN(Datos!$E:$E),0)&amp;", "&amp;VLOOKUP(C4,Datos,COLUMN(Datos!$F:$F),0),"")</f>
        <v>Carlos Alberto, Bazó Gómez</v>
      </c>
      <c r="F4" s="3">
        <f>F3+1</f>
        <v>2</v>
      </c>
      <c r="G4" s="3" t="s">
        <v>60</v>
      </c>
      <c r="H4" s="3" t="str">
        <f t="shared" ref="H4:H17" ca="1" si="0">IFERROR(MATCH(IDPrincipal,INDIRECT("Datos!$B$"&amp;H3+2&amp;":$B$1048576"),0)+H3,IFERROR(MATCH(IDPrincipal,INDIRECT("Datos!$c$"&amp;H3+2&amp;":$c$1048576"),0)+H3,""))</f>
        <v/>
      </c>
      <c r="I4" s="3" t="str">
        <f ca="1">IFERROR(VLOOKUP(H4,Datos,COLUMN(Datos!$E:$E),0)&amp;", "&amp;VLOOKUP(H4,Datos,COLUMN(Datos!$F:$F),0),"")</f>
        <v/>
      </c>
    </row>
    <row r="5" spans="1:11" x14ac:dyDescent="0.2">
      <c r="A5" s="3">
        <v>3</v>
      </c>
      <c r="B5" s="3" t="s">
        <v>2</v>
      </c>
      <c r="C5" s="3">
        <f>IFERROR(VLOOKUP(IDPrincipal,Datos,COLUMN(Datos!$C:$C),0),0)</f>
        <v>3</v>
      </c>
      <c r="D5" s="3" t="str">
        <f>IFERROR(VLOOKUP(C5,Datos,COLUMN(Datos!$E:$E),0)&amp;", "&amp;VLOOKUP(C5,Datos,COLUMN(Datos!$F:$F),0),"")</f>
        <v>Miriam Carolina, Canelón Hernández</v>
      </c>
      <c r="F5" s="3">
        <f>F4+1</f>
        <v>3</v>
      </c>
      <c r="G5" s="3" t="s">
        <v>61</v>
      </c>
      <c r="H5" s="3" t="str">
        <f t="shared" ca="1" si="0"/>
        <v/>
      </c>
      <c r="I5" s="3" t="str">
        <f ca="1">IFERROR(VLOOKUP(H5,Datos,COLUMN(Datos!$E:$E),0)&amp;", "&amp;VLOOKUP(H5,Datos,COLUMN(Datos!$F:$F),0),"")</f>
        <v/>
      </c>
      <c r="K5" s="3" t="s">
        <v>108</v>
      </c>
    </row>
    <row r="6" spans="1:11" x14ac:dyDescent="0.2">
      <c r="A6" s="3">
        <v>4</v>
      </c>
      <c r="B6" s="3" t="s">
        <v>39</v>
      </c>
      <c r="C6" s="3">
        <f>IFERROR(VLOOKUP(IDPadre,Datos,COLUMN(Datos!$B:$B),0),0)</f>
        <v>4</v>
      </c>
      <c r="D6" s="3" t="str">
        <f>IFERROR(VLOOKUP(C6,Datos,COLUMN(Datos!$E:$E),0)&amp;", "&amp;VLOOKUP(C6,Datos,COLUMN(Datos!$F:$F),0),"")</f>
        <v>Alejandro Enrique, Bazó Centeno</v>
      </c>
      <c r="F6" s="3">
        <f t="shared" ref="F6:F17" si="1">F5+1</f>
        <v>4</v>
      </c>
      <c r="G6" s="3" t="s">
        <v>62</v>
      </c>
      <c r="H6" s="3" t="str">
        <f t="shared" ca="1" si="0"/>
        <v/>
      </c>
      <c r="I6" s="3" t="str">
        <f ca="1">IFERROR(VLOOKUP(H6,Datos,COLUMN(Datos!$E:$E),0)&amp;", "&amp;VLOOKUP(H6,Datos,COLUMN(Datos!$F:$F),0),"")</f>
        <v/>
      </c>
      <c r="K6" s="3" t="s">
        <v>94</v>
      </c>
    </row>
    <row r="7" spans="1:11" x14ac:dyDescent="0.2">
      <c r="A7" s="3">
        <v>5</v>
      </c>
      <c r="B7" s="3" t="s">
        <v>40</v>
      </c>
      <c r="C7" s="3">
        <f>IFERROR(VLOOKUP(IDPadre,Datos,COLUMN(Datos!$C:$C),0),0)</f>
        <v>5</v>
      </c>
      <c r="D7" s="3" t="str">
        <f>IFERROR(VLOOKUP(C7,Datos,COLUMN(Datos!$E:$E),0)&amp;", "&amp;VLOOKUP(C7,Datos,COLUMN(Datos!$F:$F),0),"")</f>
        <v>Elia María, Gómez López</v>
      </c>
      <c r="F7" s="3">
        <f t="shared" si="1"/>
        <v>5</v>
      </c>
      <c r="G7" s="3" t="s">
        <v>63</v>
      </c>
      <c r="H7" s="3" t="str">
        <f t="shared" ca="1" si="0"/>
        <v/>
      </c>
      <c r="I7" s="3" t="str">
        <f ca="1">IFERROR(VLOOKUP(H7,Datos,COLUMN(Datos!$E:$E),0)&amp;", "&amp;VLOOKUP(H7,Datos,COLUMN(Datos!$F:$F),0),"")</f>
        <v/>
      </c>
    </row>
    <row r="8" spans="1:11" x14ac:dyDescent="0.2">
      <c r="A8" s="3">
        <v>6</v>
      </c>
      <c r="B8" s="3" t="s">
        <v>41</v>
      </c>
      <c r="C8" s="3">
        <f>IFERROR(VLOOKUP(IDMadre,Datos,COLUMN(Datos!$B:$B),0),0)</f>
        <v>6</v>
      </c>
      <c r="D8" s="3" t="str">
        <f>IFERROR(VLOOKUP(C8,Datos,COLUMN(Datos!$E:$E),0)&amp;", "&amp;VLOOKUP(C8,Datos,COLUMN(Datos!$F:$F),0),"")</f>
        <v>José María, Canelón Bustamante</v>
      </c>
      <c r="F8" s="3">
        <f t="shared" si="1"/>
        <v>6</v>
      </c>
      <c r="G8" s="3" t="s">
        <v>64</v>
      </c>
      <c r="H8" s="3" t="str">
        <f t="shared" ca="1" si="0"/>
        <v/>
      </c>
      <c r="I8" s="3" t="str">
        <f ca="1">IFERROR(VLOOKUP(H8,Datos,COLUMN(Datos!$E:$E),0)&amp;", "&amp;VLOOKUP(H8,Datos,COLUMN(Datos!$F:$F),0),"")</f>
        <v/>
      </c>
      <c r="K8" s="3" t="s">
        <v>109</v>
      </c>
    </row>
    <row r="9" spans="1:11" x14ac:dyDescent="0.2">
      <c r="A9" s="3">
        <v>7</v>
      </c>
      <c r="B9" s="3" t="s">
        <v>42</v>
      </c>
      <c r="C9" s="3">
        <f>IFERROR(VLOOKUP(IDMadre,Datos,COLUMN(Datos!$C:$C),0),0)</f>
        <v>7</v>
      </c>
      <c r="D9" s="3" t="str">
        <f>IFERROR(VLOOKUP(C9,Datos,COLUMN(Datos!$E:$E),0)&amp;", "&amp;VLOOKUP(C9,Datos,COLUMN(Datos!$F:$F),0),"")</f>
        <v>Luisa Margarita, Hernández Núñez</v>
      </c>
      <c r="F9" s="3">
        <f t="shared" si="1"/>
        <v>7</v>
      </c>
      <c r="G9" s="3" t="s">
        <v>65</v>
      </c>
      <c r="H9" s="3" t="str">
        <f t="shared" ca="1" si="0"/>
        <v/>
      </c>
      <c r="I9" s="3" t="str">
        <f ca="1">IFERROR(VLOOKUP(H9,Datos,COLUMN(Datos!$E:$E),0)&amp;", "&amp;VLOOKUP(H9,Datos,COLUMN(Datos!$F:$F),0),"")</f>
        <v/>
      </c>
      <c r="K9" s="3" t="str">
        <f>IFERROR(VLOOKUP($C$3,Datos,COLUMN(Datos!$AF:$AF),0),"")</f>
        <v>Hombre</v>
      </c>
    </row>
    <row r="10" spans="1:11" x14ac:dyDescent="0.2">
      <c r="A10" s="3">
        <v>8</v>
      </c>
      <c r="B10" s="3" t="s">
        <v>48</v>
      </c>
      <c r="C10" s="3">
        <f>IFERROR(VLOOKUP(IDAbueloP,Datos,COLUMN(Datos!$B:$B),0),0)</f>
        <v>8</v>
      </c>
      <c r="D10" s="3" t="str">
        <f>IFERROR(VLOOKUP(C10,Datos,COLUMN(Datos!$E:$E),0)&amp;", "&amp;VLOOKUP(C10,Datos,COLUMN(Datos!$F:$F),0),"")</f>
        <v>Alejandro, Bazó Barolleta</v>
      </c>
      <c r="F10" s="3">
        <f t="shared" si="1"/>
        <v>8</v>
      </c>
      <c r="G10" s="3" t="s">
        <v>66</v>
      </c>
      <c r="H10" s="3" t="str">
        <f t="shared" ca="1" si="0"/>
        <v/>
      </c>
      <c r="I10" s="3" t="str">
        <f ca="1">IFERROR(VLOOKUP(H10,Datos,COLUMN(Datos!$E:$E),0)&amp;", "&amp;VLOOKUP(H10,Datos,COLUMN(Datos!$F:$F),0),"")</f>
        <v/>
      </c>
    </row>
    <row r="11" spans="1:11" x14ac:dyDescent="0.2">
      <c r="A11" s="3">
        <v>9</v>
      </c>
      <c r="B11" s="3" t="s">
        <v>49</v>
      </c>
      <c r="C11" s="3">
        <f>IFERROR(VLOOKUP(IDAbueloP,Datos,COLUMN(Datos!$C:$C),0),0)</f>
        <v>9</v>
      </c>
      <c r="D11" s="3" t="str">
        <f>IFERROR(VLOOKUP(C11,Datos,COLUMN(Datos!$E:$E),0)&amp;", "&amp;VLOOKUP(C11,Datos,COLUMN(Datos!$F:$F),0),"")</f>
        <v>Clara Elena, Centeno Gil</v>
      </c>
      <c r="F11" s="3">
        <f t="shared" si="1"/>
        <v>9</v>
      </c>
      <c r="G11" s="3" t="s">
        <v>67</v>
      </c>
      <c r="H11" s="3" t="str">
        <f t="shared" ca="1" si="0"/>
        <v/>
      </c>
      <c r="I11" s="3" t="str">
        <f ca="1">IFERROR(VLOOKUP(H11,Datos,COLUMN(Datos!$E:$E),0)&amp;", "&amp;VLOOKUP(H11,Datos,COLUMN(Datos!$F:$F),0),"")</f>
        <v/>
      </c>
    </row>
    <row r="12" spans="1:11" x14ac:dyDescent="0.2">
      <c r="A12" s="3">
        <v>10</v>
      </c>
      <c r="B12" s="3" t="s">
        <v>50</v>
      </c>
      <c r="C12" s="3">
        <f>IFERROR(VLOOKUP(IDAbuelaP,Datos,COLUMN(Datos!$B:$B),0),0)</f>
        <v>10</v>
      </c>
      <c r="D12" s="3" t="str">
        <f>IFERROR(VLOOKUP(C12,Datos,COLUMN(Datos!$E:$E),0)&amp;", "&amp;VLOOKUP(C12,Datos,COLUMN(Datos!$F:$F),0),"")</f>
        <v>Romualdo, Gómez Iragorri</v>
      </c>
      <c r="F12" s="3">
        <f t="shared" si="1"/>
        <v>10</v>
      </c>
      <c r="G12" s="3" t="s">
        <v>68</v>
      </c>
      <c r="H12" s="3" t="str">
        <f t="shared" ca="1" si="0"/>
        <v/>
      </c>
      <c r="I12" s="3" t="str">
        <f ca="1">IFERROR(VLOOKUP(H12,Datos,COLUMN(Datos!$E:$E),0)&amp;", "&amp;VLOOKUP(H12,Datos,COLUMN(Datos!$F:$F),0),"")</f>
        <v/>
      </c>
    </row>
    <row r="13" spans="1:11" x14ac:dyDescent="0.2">
      <c r="A13" s="3">
        <v>11</v>
      </c>
      <c r="B13" s="3" t="s">
        <v>51</v>
      </c>
      <c r="C13" s="3">
        <f>IFERROR(VLOOKUP(IDAbuelaP,Datos,COLUMN(Datos!$C:$C),0),0)</f>
        <v>11</v>
      </c>
      <c r="D13" s="3" t="str">
        <f>IFERROR(VLOOKUP(C13,Datos,COLUMN(Datos!$E:$E),0)&amp;", "&amp;VLOOKUP(C13,Datos,COLUMN(Datos!$F:$F),0),"")</f>
        <v>Leonarda, López Méndez</v>
      </c>
      <c r="F13" s="3">
        <f t="shared" si="1"/>
        <v>11</v>
      </c>
      <c r="G13" s="3" t="s">
        <v>69</v>
      </c>
      <c r="H13" s="3" t="str">
        <f t="shared" ca="1" si="0"/>
        <v/>
      </c>
      <c r="I13" s="3" t="str">
        <f ca="1">IFERROR(VLOOKUP(H13,Datos,COLUMN(Datos!$E:$E),0)&amp;", "&amp;VLOOKUP(H13,Datos,COLUMN(Datos!$F:$F),0),"")</f>
        <v/>
      </c>
    </row>
    <row r="14" spans="1:11" x14ac:dyDescent="0.2">
      <c r="A14" s="3">
        <v>12</v>
      </c>
      <c r="B14" s="3" t="s">
        <v>52</v>
      </c>
      <c r="C14" s="3">
        <f>IFERROR(VLOOKUP(IDAbueloM,Datos,COLUMN(Datos!$B:$B),0),0)</f>
        <v>12</v>
      </c>
      <c r="D14" s="3" t="str">
        <f>IFERROR(VLOOKUP(C14,Datos,COLUMN(Datos!$E:$E),0)&amp;", "&amp;VLOOKUP(C14,Datos,COLUMN(Datos!$F:$F),0),"")</f>
        <v>José María, Canelón Pérez</v>
      </c>
      <c r="F14" s="3">
        <f t="shared" si="1"/>
        <v>12</v>
      </c>
      <c r="G14" s="3" t="s">
        <v>70</v>
      </c>
      <c r="H14" s="3" t="str">
        <f t="shared" ca="1" si="0"/>
        <v/>
      </c>
      <c r="I14" s="3" t="str">
        <f ca="1">IFERROR(VLOOKUP(H14,Datos,COLUMN(Datos!$E:$E),0)&amp;", "&amp;VLOOKUP(H14,Datos,COLUMN(Datos!$F:$F),0),"")</f>
        <v/>
      </c>
    </row>
    <row r="15" spans="1:11" x14ac:dyDescent="0.2">
      <c r="A15" s="3">
        <v>13</v>
      </c>
      <c r="B15" s="3" t="s">
        <v>53</v>
      </c>
      <c r="C15" s="3">
        <f>IFERROR(VLOOKUP(IDAbueloM,Datos,COLUMN(Datos!$C:$C),0),0)</f>
        <v>13</v>
      </c>
      <c r="D15" s="3" t="str">
        <f>IFERROR(VLOOKUP(C15,Datos,COLUMN(Datos!$E:$E),0)&amp;", "&amp;VLOOKUP(C15,Datos,COLUMN(Datos!$F:$F),0),"")</f>
        <v>Luisa Dolores, Bustamante Martínez</v>
      </c>
      <c r="F15" s="3">
        <f t="shared" si="1"/>
        <v>13</v>
      </c>
      <c r="G15" s="3" t="s">
        <v>71</v>
      </c>
      <c r="H15" s="3" t="str">
        <f t="shared" ca="1" si="0"/>
        <v/>
      </c>
      <c r="I15" s="3" t="str">
        <f ca="1">IFERROR(VLOOKUP(H15,Datos,COLUMN(Datos!$E:$E),0)&amp;", "&amp;VLOOKUP(H15,Datos,COLUMN(Datos!$F:$F),0),"")</f>
        <v/>
      </c>
    </row>
    <row r="16" spans="1:11" x14ac:dyDescent="0.2">
      <c r="A16" s="3">
        <v>14</v>
      </c>
      <c r="B16" s="3" t="s">
        <v>54</v>
      </c>
      <c r="C16" s="3">
        <f>IFERROR(VLOOKUP(IDAbuelaM,Datos,COLUMN(Datos!$B:$B),0),0)</f>
        <v>14</v>
      </c>
      <c r="D16" s="3" t="str">
        <f>IFERROR(VLOOKUP(C16,Datos,COLUMN(Datos!$E:$E),0)&amp;", "&amp;VLOOKUP(C16,Datos,COLUMN(Datos!$F:$F),0),"")</f>
        <v>Luis Rafael, Hernández Barrios</v>
      </c>
      <c r="F16" s="3">
        <f t="shared" si="1"/>
        <v>14</v>
      </c>
      <c r="G16" s="3" t="s">
        <v>72</v>
      </c>
      <c r="H16" s="3" t="str">
        <f t="shared" ca="1" si="0"/>
        <v/>
      </c>
      <c r="I16" s="3" t="str">
        <f ca="1">IFERROR(VLOOKUP(H16,Datos,COLUMN(Datos!$E:$E),0)&amp;", "&amp;VLOOKUP(H16,Datos,COLUMN(Datos!$F:$F),0),"")</f>
        <v/>
      </c>
    </row>
    <row r="17" spans="1:9" x14ac:dyDescent="0.2">
      <c r="A17" s="3">
        <v>15</v>
      </c>
      <c r="B17" s="3" t="s">
        <v>55</v>
      </c>
      <c r="C17" s="3">
        <f>IFERROR(VLOOKUP(IDAbuelaM,Datos,COLUMN(Datos!$C:$C),0),0)</f>
        <v>15</v>
      </c>
      <c r="D17" s="3" t="str">
        <f>IFERROR(VLOOKUP(C17,Datos,COLUMN(Datos!$E:$E),0)&amp;", "&amp;VLOOKUP(C17,Datos,COLUMN(Datos!$F:$F),0),"")</f>
        <v>Adela, Núñez Ruiz</v>
      </c>
      <c r="F17" s="3">
        <f t="shared" si="1"/>
        <v>15</v>
      </c>
      <c r="G17" s="3" t="s">
        <v>73</v>
      </c>
      <c r="H17" s="3" t="str">
        <f t="shared" ca="1" si="0"/>
        <v/>
      </c>
      <c r="I17" s="3" t="str">
        <f ca="1">IFERROR(VLOOKUP(H17,Datos,COLUMN(Datos!$E:$E),0)&amp;", "&amp;VLOOKUP(H17,Datos,COLUMN(Datos!$F:$F),0),"")</f>
        <v/>
      </c>
    </row>
    <row r="24" spans="1:9" x14ac:dyDescent="0.2">
      <c r="A24" s="1" t="s">
        <v>0</v>
      </c>
      <c r="B24" s="1" t="s">
        <v>45</v>
      </c>
      <c r="F24" s="1" t="s">
        <v>0</v>
      </c>
      <c r="G24" s="1" t="s">
        <v>45</v>
      </c>
    </row>
    <row r="25" spans="1:9" x14ac:dyDescent="0.2">
      <c r="A25" s="11">
        <v>0</v>
      </c>
      <c r="B25" s="3">
        <f>VLOOKUP(A25+1,Tabla3[[ID]:[IDAsc]],3,0)</f>
        <v>1</v>
      </c>
      <c r="F25" s="12">
        <v>0</v>
      </c>
      <c r="G25" s="3">
        <f>IFERROR(VLOOKUP(F25,Tabla4[],3,0),0)</f>
        <v>0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</sheetPr>
  <dimension ref="B1:M36"/>
  <sheetViews>
    <sheetView showGridLines="0" showRowColHeaders="0" workbookViewId="0">
      <selection activeCell="C33" sqref="C33:I36"/>
    </sheetView>
  </sheetViews>
  <sheetFormatPr baseColWidth="10" defaultColWidth="11.44140625" defaultRowHeight="15" customHeight="1" x14ac:dyDescent="0.3"/>
  <cols>
    <col min="1" max="1" width="4.33203125" style="39" customWidth="1"/>
    <col min="2" max="2" width="7.44140625" style="39" bestFit="1" customWidth="1"/>
    <col min="3" max="9" width="11.44140625" style="39"/>
    <col min="10" max="10" width="5.6640625" style="39" customWidth="1"/>
    <col min="11" max="16384" width="11.44140625" style="39"/>
  </cols>
  <sheetData>
    <row r="1" spans="2:13" ht="30" customHeight="1" x14ac:dyDescent="0.3">
      <c r="C1" s="54"/>
      <c r="D1" s="54"/>
      <c r="E1" s="54"/>
      <c r="F1" s="54"/>
      <c r="G1" s="54"/>
      <c r="H1" s="54"/>
      <c r="I1" s="54"/>
    </row>
    <row r="2" spans="2:13" ht="5.0999999999999996" customHeight="1" x14ac:dyDescent="0.3"/>
    <row r="3" spans="2:13" ht="15" customHeight="1" x14ac:dyDescent="0.3">
      <c r="B3" s="38" t="s">
        <v>0</v>
      </c>
      <c r="C3" s="44"/>
      <c r="D3" s="38" t="s">
        <v>84</v>
      </c>
      <c r="E3" s="43"/>
      <c r="F3" s="38" t="s">
        <v>99</v>
      </c>
      <c r="G3" s="43"/>
      <c r="H3" s="38" t="s">
        <v>100</v>
      </c>
      <c r="I3" s="43"/>
      <c r="K3" s="51" t="s">
        <v>101</v>
      </c>
      <c r="L3" s="51"/>
      <c r="M3" s="51"/>
    </row>
    <row r="4" spans="2:13" ht="5.0999999999999996" customHeight="1" x14ac:dyDescent="0.3"/>
    <row r="5" spans="2:13" ht="15" customHeight="1" x14ac:dyDescent="0.3">
      <c r="B5" s="38" t="s">
        <v>85</v>
      </c>
      <c r="C5" s="53"/>
      <c r="D5" s="53"/>
      <c r="E5" s="53"/>
      <c r="F5" s="38" t="s">
        <v>86</v>
      </c>
      <c r="G5" s="53"/>
      <c r="H5" s="53"/>
      <c r="I5" s="53"/>
    </row>
    <row r="6" spans="2:13" ht="9.9" customHeight="1" x14ac:dyDescent="0.3"/>
    <row r="7" spans="2:13" ht="15" customHeight="1" x14ac:dyDescent="0.3">
      <c r="C7" s="51" t="s">
        <v>90</v>
      </c>
      <c r="D7" s="51"/>
      <c r="E7" s="51"/>
      <c r="F7" s="51"/>
      <c r="G7" s="51"/>
      <c r="H7" s="51"/>
      <c r="I7" s="51"/>
    </row>
    <row r="8" spans="2:13" ht="5.0999999999999996" customHeight="1" x14ac:dyDescent="0.3"/>
    <row r="9" spans="2:13" ht="15" customHeight="1" x14ac:dyDescent="0.3">
      <c r="B9" s="38" t="s">
        <v>91</v>
      </c>
      <c r="C9" s="53"/>
      <c r="D9" s="53"/>
      <c r="E9" s="53"/>
      <c r="F9" s="38" t="s">
        <v>92</v>
      </c>
      <c r="G9" s="53"/>
      <c r="H9" s="53"/>
      <c r="I9" s="53"/>
    </row>
    <row r="10" spans="2:13" ht="5.0999999999999996" customHeight="1" x14ac:dyDescent="0.3"/>
    <row r="11" spans="2:13" ht="15" customHeight="1" x14ac:dyDescent="0.3">
      <c r="B11" s="38" t="s">
        <v>87</v>
      </c>
      <c r="C11" s="43"/>
      <c r="D11" s="38" t="s">
        <v>88</v>
      </c>
      <c r="E11" s="43"/>
      <c r="F11" s="38" t="s">
        <v>89</v>
      </c>
      <c r="G11" s="43"/>
      <c r="H11" s="38" t="s">
        <v>93</v>
      </c>
      <c r="I11" s="43"/>
    </row>
    <row r="12" spans="2:13" ht="9.9" customHeight="1" x14ac:dyDescent="0.3"/>
    <row r="13" spans="2:13" ht="15" customHeight="1" x14ac:dyDescent="0.3">
      <c r="C13" s="51" t="s">
        <v>96</v>
      </c>
      <c r="D13" s="51"/>
      <c r="E13" s="51"/>
      <c r="F13" s="51"/>
      <c r="G13" s="51"/>
      <c r="H13" s="51"/>
      <c r="I13" s="51"/>
    </row>
    <row r="14" spans="2:13" ht="5.0999999999999996" customHeight="1" x14ac:dyDescent="0.3"/>
    <row r="15" spans="2:13" ht="15" customHeight="1" x14ac:dyDescent="0.3">
      <c r="B15" s="38" t="s">
        <v>91</v>
      </c>
      <c r="C15" s="53"/>
      <c r="D15" s="53"/>
      <c r="E15" s="53"/>
      <c r="F15" s="38" t="s">
        <v>92</v>
      </c>
      <c r="G15" s="53"/>
      <c r="H15" s="53"/>
      <c r="I15" s="53"/>
    </row>
    <row r="16" spans="2:13" ht="5.0999999999999996" customHeight="1" x14ac:dyDescent="0.3"/>
    <row r="17" spans="2:13" ht="15" customHeight="1" x14ac:dyDescent="0.3">
      <c r="B17" s="38" t="s">
        <v>87</v>
      </c>
      <c r="C17" s="43"/>
      <c r="D17" s="38" t="s">
        <v>88</v>
      </c>
      <c r="E17" s="43"/>
      <c r="F17" s="38" t="s">
        <v>89</v>
      </c>
      <c r="G17" s="43"/>
      <c r="H17" s="38" t="s">
        <v>93</v>
      </c>
      <c r="I17" s="43"/>
      <c r="K17" s="38" t="s">
        <v>103</v>
      </c>
      <c r="L17" s="44"/>
    </row>
    <row r="18" spans="2:13" ht="9.9" customHeight="1" x14ac:dyDescent="0.3"/>
    <row r="19" spans="2:13" ht="15" customHeight="1" x14ac:dyDescent="0.3">
      <c r="C19" s="51" t="s">
        <v>97</v>
      </c>
      <c r="D19" s="51"/>
      <c r="E19" s="51"/>
      <c r="F19" s="51"/>
      <c r="G19" s="51"/>
      <c r="H19" s="51"/>
      <c r="I19" s="51"/>
      <c r="K19" s="51" t="s">
        <v>102</v>
      </c>
      <c r="L19" s="51"/>
      <c r="M19" s="51"/>
    </row>
    <row r="20" spans="2:13" ht="5.0999999999999996" customHeight="1" x14ac:dyDescent="0.3"/>
    <row r="21" spans="2:13" ht="15" customHeight="1" x14ac:dyDescent="0.3">
      <c r="B21" s="38" t="s">
        <v>91</v>
      </c>
      <c r="C21" s="53"/>
      <c r="D21" s="53"/>
      <c r="E21" s="53"/>
      <c r="F21" s="38" t="s">
        <v>92</v>
      </c>
      <c r="G21" s="53"/>
      <c r="H21" s="53"/>
      <c r="I21" s="53"/>
    </row>
    <row r="22" spans="2:13" ht="5.0999999999999996" customHeight="1" x14ac:dyDescent="0.3"/>
    <row r="23" spans="2:13" ht="15" customHeight="1" x14ac:dyDescent="0.3">
      <c r="B23" s="38" t="s">
        <v>87</v>
      </c>
      <c r="C23" s="43"/>
      <c r="D23" s="38" t="s">
        <v>88</v>
      </c>
      <c r="E23" s="43"/>
      <c r="F23" s="38" t="s">
        <v>89</v>
      </c>
      <c r="G23" s="43"/>
      <c r="H23" s="38" t="s">
        <v>93</v>
      </c>
      <c r="I23" s="43"/>
    </row>
    <row r="24" spans="2:13" ht="9.9" customHeight="1" x14ac:dyDescent="0.3"/>
    <row r="25" spans="2:13" ht="15" customHeight="1" x14ac:dyDescent="0.3">
      <c r="C25" s="51" t="s">
        <v>98</v>
      </c>
      <c r="D25" s="51"/>
      <c r="E25" s="51"/>
      <c r="F25" s="51"/>
      <c r="G25" s="51"/>
      <c r="H25" s="51"/>
      <c r="I25" s="51"/>
    </row>
    <row r="26" spans="2:13" ht="5.0999999999999996" customHeight="1" x14ac:dyDescent="0.3"/>
    <row r="27" spans="2:13" ht="15" customHeight="1" x14ac:dyDescent="0.3">
      <c r="B27" s="38" t="s">
        <v>91</v>
      </c>
      <c r="C27" s="53"/>
      <c r="D27" s="53"/>
      <c r="E27" s="53"/>
      <c r="F27" s="38" t="s">
        <v>92</v>
      </c>
      <c r="G27" s="53"/>
      <c r="H27" s="53"/>
      <c r="I27" s="53"/>
    </row>
    <row r="28" spans="2:13" ht="5.0999999999999996" customHeight="1" x14ac:dyDescent="0.3"/>
    <row r="29" spans="2:13" ht="15" customHeight="1" x14ac:dyDescent="0.3">
      <c r="B29" s="38" t="s">
        <v>87</v>
      </c>
      <c r="C29" s="43"/>
      <c r="D29" s="38" t="s">
        <v>88</v>
      </c>
      <c r="E29" s="43"/>
      <c r="F29" s="38" t="s">
        <v>89</v>
      </c>
      <c r="G29" s="43"/>
      <c r="H29" s="38" t="s">
        <v>93</v>
      </c>
      <c r="I29" s="43"/>
    </row>
    <row r="30" spans="2:13" ht="9.9" customHeight="1" x14ac:dyDescent="0.3"/>
    <row r="31" spans="2:13" ht="15" customHeight="1" x14ac:dyDescent="0.3">
      <c r="C31" s="51" t="s">
        <v>32</v>
      </c>
      <c r="D31" s="51"/>
      <c r="E31" s="51"/>
      <c r="F31" s="51"/>
      <c r="G31" s="51"/>
      <c r="H31" s="51"/>
      <c r="I31" s="51"/>
    </row>
    <row r="32" spans="2:13" ht="5.0999999999999996" customHeight="1" x14ac:dyDescent="0.3"/>
    <row r="33" spans="3:12" ht="15" customHeight="1" x14ac:dyDescent="0.3">
      <c r="C33" s="52"/>
      <c r="D33" s="52"/>
      <c r="E33" s="52"/>
      <c r="F33" s="52"/>
      <c r="G33" s="52"/>
      <c r="H33" s="52"/>
      <c r="I33" s="52"/>
      <c r="K33" s="38" t="s">
        <v>104</v>
      </c>
      <c r="L33" s="44"/>
    </row>
    <row r="34" spans="3:12" ht="15" customHeight="1" x14ac:dyDescent="0.3">
      <c r="C34" s="52"/>
      <c r="D34" s="52"/>
      <c r="E34" s="52"/>
      <c r="F34" s="52"/>
      <c r="G34" s="52"/>
      <c r="H34" s="52"/>
      <c r="I34" s="52"/>
    </row>
    <row r="35" spans="3:12" ht="15" customHeight="1" x14ac:dyDescent="0.3">
      <c r="C35" s="52"/>
      <c r="D35" s="52"/>
      <c r="E35" s="52"/>
      <c r="F35" s="52"/>
      <c r="G35" s="52"/>
      <c r="H35" s="52"/>
      <c r="I35" s="52"/>
    </row>
    <row r="36" spans="3:12" ht="15" customHeight="1" x14ac:dyDescent="0.3">
      <c r="C36" s="52"/>
      <c r="D36" s="52"/>
      <c r="E36" s="52"/>
      <c r="F36" s="52"/>
      <c r="G36" s="52"/>
      <c r="H36" s="52"/>
      <c r="I36" s="52"/>
    </row>
  </sheetData>
  <sheetProtection sheet="1" selectLockedCells="1"/>
  <mergeCells count="19">
    <mergeCell ref="C1:I1"/>
    <mergeCell ref="C25:I25"/>
    <mergeCell ref="C27:E27"/>
    <mergeCell ref="G27:I27"/>
    <mergeCell ref="C31:I31"/>
    <mergeCell ref="K3:M3"/>
    <mergeCell ref="K19:M19"/>
    <mergeCell ref="C33:I36"/>
    <mergeCell ref="C13:I13"/>
    <mergeCell ref="C15:E15"/>
    <mergeCell ref="G15:I15"/>
    <mergeCell ref="C19:I19"/>
    <mergeCell ref="C21:E21"/>
    <mergeCell ref="G21:I21"/>
    <mergeCell ref="C5:E5"/>
    <mergeCell ref="G5:I5"/>
    <mergeCell ref="C7:I7"/>
    <mergeCell ref="C9:E9"/>
    <mergeCell ref="G9:I9"/>
  </mergeCells>
  <dataValidations count="4">
    <dataValidation type="list" allowBlank="1" showInputMessage="1" showErrorMessage="1" sqref="E11 E17 E23 E29" xr:uid="{00000000-0002-0000-0300-000000000000}">
      <formula1>"1,2,3,4,5,6,7,8,9,10,11,12"</formula1>
    </dataValidation>
    <dataValidation type="list" allowBlank="1" showInputMessage="1" showErrorMessage="1" sqref="G11 G17 G23 G29" xr:uid="{00000000-0002-0000-0300-000001000000}">
      <formula1>"1,2,3,4,5,6,7,8,9,10,11,12,13,14,15,16,17,18,19,20,21,22,23,24,25,26,27,28,29,30,31"</formula1>
    </dataValidation>
    <dataValidation type="list" allowBlank="1" showInputMessage="1" showErrorMessage="1" sqref="I11 I17 I23 I29 G3" xr:uid="{00000000-0002-0000-0300-000002000000}">
      <formula1>"Si,No"</formula1>
    </dataValidation>
    <dataValidation type="list" allowBlank="1" showInputMessage="1" showErrorMessage="1" sqref="I3" xr:uid="{00000000-0002-0000-0300-000003000000}">
      <formula1>"Hombre,Mujer"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List Box 5">
              <controlPr defaultSize="0" autoLine="0" autoPict="0">
                <anchor>
                  <from>
                    <xdr:col>10</xdr:col>
                    <xdr:colOff>7620</xdr:colOff>
                    <xdr:row>3</xdr:row>
                    <xdr:rowOff>60960</xdr:rowOff>
                  </from>
                  <to>
                    <xdr:col>12</xdr:col>
                    <xdr:colOff>754380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List Box 6">
              <controlPr defaultSize="0" autoLine="0" autoPict="0">
                <anchor>
                  <from>
                    <xdr:col>10</xdr:col>
                    <xdr:colOff>7620</xdr:colOff>
                    <xdr:row>19</xdr:row>
                    <xdr:rowOff>60960</xdr:rowOff>
                  </from>
                  <to>
                    <xdr:col>12</xdr:col>
                    <xdr:colOff>754380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GuardarEdicion">
                <anchor moveWithCells="1" sizeWithCells="1">
                  <from>
                    <xdr:col>7</xdr:col>
                    <xdr:colOff>632460</xdr:colOff>
                    <xdr:row>36</xdr:row>
                    <xdr:rowOff>144780</xdr:rowOff>
                  </from>
                  <to>
                    <xdr:col>8</xdr:col>
                    <xdr:colOff>731520</xdr:colOff>
                    <xdr:row>37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ancelarEdicion">
                <anchor moveWithCells="1" sizeWithCells="1">
                  <from>
                    <xdr:col>6</xdr:col>
                    <xdr:colOff>388620</xdr:colOff>
                    <xdr:row>36</xdr:row>
                    <xdr:rowOff>152400</xdr:rowOff>
                  </from>
                  <to>
                    <xdr:col>7</xdr:col>
                    <xdr:colOff>495300</xdr:colOff>
                    <xdr:row>37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56</vt:i4>
      </vt:variant>
    </vt:vector>
  </HeadingPairs>
  <TitlesOfParts>
    <vt:vector size="60" baseType="lpstr">
      <vt:lpstr>Arbol</vt:lpstr>
      <vt:lpstr>Datos</vt:lpstr>
      <vt:lpstr>Control</vt:lpstr>
      <vt:lpstr>Edicion</vt:lpstr>
      <vt:lpstr>AbuelaM</vt:lpstr>
      <vt:lpstr>AbuelaP</vt:lpstr>
      <vt:lpstr>AbueloM</vt:lpstr>
      <vt:lpstr>AbueloP</vt:lpstr>
      <vt:lpstr>Arbol</vt:lpstr>
      <vt:lpstr>ArbolCompleto</vt:lpstr>
      <vt:lpstr>Ascendencia</vt:lpstr>
      <vt:lpstr>Datos</vt:lpstr>
      <vt:lpstr>Descendencia</vt:lpstr>
      <vt:lpstr>E_AnhoBtzo</vt:lpstr>
      <vt:lpstr>E_AnhoDef</vt:lpstr>
      <vt:lpstr>E_AnhoMatr</vt:lpstr>
      <vt:lpstr>E_AnhoNac</vt:lpstr>
      <vt:lpstr>E_Apellidos</vt:lpstr>
      <vt:lpstr>E_DatExBtzo</vt:lpstr>
      <vt:lpstr>E_DatExDef</vt:lpstr>
      <vt:lpstr>E_DatExMatr</vt:lpstr>
      <vt:lpstr>E_DatExNac</vt:lpstr>
      <vt:lpstr>E_DiaBtzo</vt:lpstr>
      <vt:lpstr>E_DiaDef</vt:lpstr>
      <vt:lpstr>E_DiaMatr</vt:lpstr>
      <vt:lpstr>E_DiaNac</vt:lpstr>
      <vt:lpstr>E_Generacion</vt:lpstr>
      <vt:lpstr>E_ID</vt:lpstr>
      <vt:lpstr>E_IDMadre</vt:lpstr>
      <vt:lpstr>E_IDPadre</vt:lpstr>
      <vt:lpstr>E_LugarBtzo</vt:lpstr>
      <vt:lpstr>E_LugarDef</vt:lpstr>
      <vt:lpstr>E_LugarMatr</vt:lpstr>
      <vt:lpstr>E_LugarNac</vt:lpstr>
      <vt:lpstr>E_MesBtzo</vt:lpstr>
      <vt:lpstr>E_MesDef</vt:lpstr>
      <vt:lpstr>E_MesMatr</vt:lpstr>
      <vt:lpstr>E_MesNac</vt:lpstr>
      <vt:lpstr>E_NombreCompleto</vt:lpstr>
      <vt:lpstr>E_Nombres</vt:lpstr>
      <vt:lpstr>E_Observaciones</vt:lpstr>
      <vt:lpstr>E_PaisBtzo</vt:lpstr>
      <vt:lpstr>E_PaisDef</vt:lpstr>
      <vt:lpstr>E_PaisMatr</vt:lpstr>
      <vt:lpstr>E_PaisNac</vt:lpstr>
      <vt:lpstr>E_Sexo</vt:lpstr>
      <vt:lpstr>E_Vive</vt:lpstr>
      <vt:lpstr>IDAbuelaM</vt:lpstr>
      <vt:lpstr>IDAbuelaP</vt:lpstr>
      <vt:lpstr>IDAbueloM</vt:lpstr>
      <vt:lpstr>IDAbueloP</vt:lpstr>
      <vt:lpstr>IDMadre</vt:lpstr>
      <vt:lpstr>IDMayor</vt:lpstr>
      <vt:lpstr>IDPadre</vt:lpstr>
      <vt:lpstr>IDPrincipal</vt:lpstr>
      <vt:lpstr>IDSeleccion</vt:lpstr>
      <vt:lpstr>Madre</vt:lpstr>
      <vt:lpstr>Padre</vt:lpstr>
      <vt:lpstr>PersonaNueva</vt:lpstr>
      <vt:lpstr>SexoIDPpal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2021-11-04T20:15:45Z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76f9f2e7-6465-423b-bde4-fc20da1bc157</vt:lpwstr>
  </property>
</Properties>
</file>